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9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10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1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2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3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14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Gui_Olv\Documents\Planilhas_Fe\"/>
    </mc:Choice>
  </mc:AlternateContent>
  <xr:revisionPtr revIDLastSave="0" documentId="13_ncr:1_{2D888883-CA14-43CF-AA01-84E3D48AD56A}" xr6:coauthVersionLast="47" xr6:coauthVersionMax="47" xr10:uidLastSave="{00000000-0000-0000-0000-000000000000}"/>
  <bookViews>
    <workbookView showSheetTabs="0" xWindow="-120" yWindow="-120" windowWidth="20730" windowHeight="11160" tabRatio="652" firstSheet="1" xr2:uid="{2E4B5D59-77E9-46ED-8467-649E457DDF58}"/>
  </bookViews>
  <sheets>
    <sheet name="MENU" sheetId="3" r:id="rId1"/>
    <sheet name="DRE" sheetId="5" r:id="rId2"/>
    <sheet name="JUN" sheetId="1" r:id="rId3"/>
    <sheet name="JUL" sheetId="7" r:id="rId4"/>
    <sheet name="AGO" sheetId="8" r:id="rId5"/>
    <sheet name="SET" sheetId="9" r:id="rId6"/>
    <sheet name="OUT" sheetId="10" r:id="rId7"/>
    <sheet name="NOV" sheetId="11" r:id="rId8"/>
    <sheet name="DEZ" sheetId="12" r:id="rId9"/>
    <sheet name="JAN" sheetId="13" r:id="rId10"/>
    <sheet name="FEV" sheetId="14" r:id="rId11"/>
    <sheet name="MAR" sheetId="15" r:id="rId12"/>
    <sheet name="ABR" sheetId="16" r:id="rId13"/>
    <sheet name="MAI" sheetId="17" r:id="rId14"/>
    <sheet name="Referencias" sheetId="6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4" i="9" l="1"/>
  <c r="G15" i="9"/>
  <c r="G14" i="1"/>
  <c r="G15" i="1"/>
  <c r="G16" i="1"/>
  <c r="G17" i="1"/>
  <c r="G18" i="1"/>
  <c r="G19" i="1"/>
  <c r="G20" i="1"/>
  <c r="G14" i="13"/>
  <c r="M14" i="5"/>
  <c r="B35" i="17" l="1"/>
  <c r="D35" i="17" s="1"/>
  <c r="B34" i="17"/>
  <c r="D34" i="17" s="1"/>
  <c r="B33" i="17"/>
  <c r="B32" i="17"/>
  <c r="D32" i="17" s="1"/>
  <c r="D31" i="17"/>
  <c r="B31" i="17"/>
  <c r="B30" i="17"/>
  <c r="D30" i="17" s="1"/>
  <c r="M28" i="17"/>
  <c r="M25" i="17"/>
  <c r="H6" i="5" s="1"/>
  <c r="F25" i="17"/>
  <c r="M22" i="17"/>
  <c r="H7" i="5" s="1"/>
  <c r="G19" i="17"/>
  <c r="G18" i="17"/>
  <c r="G17" i="17"/>
  <c r="G16" i="17"/>
  <c r="G15" i="17"/>
  <c r="G14" i="17"/>
  <c r="F22" i="17" s="1"/>
  <c r="G7" i="17"/>
  <c r="D35" i="16"/>
  <c r="B35" i="16"/>
  <c r="B34" i="16"/>
  <c r="D34" i="16" s="1"/>
  <c r="B33" i="16"/>
  <c r="B32" i="16"/>
  <c r="D32" i="16" s="1"/>
  <c r="D31" i="16"/>
  <c r="B31" i="16"/>
  <c r="B30" i="16"/>
  <c r="D30" i="16" s="1"/>
  <c r="M28" i="16"/>
  <c r="M25" i="16"/>
  <c r="G6" i="5" s="1"/>
  <c r="F25" i="16"/>
  <c r="M22" i="16"/>
  <c r="G7" i="5" s="1"/>
  <c r="G19" i="16"/>
  <c r="G18" i="16"/>
  <c r="G17" i="16"/>
  <c r="G16" i="16"/>
  <c r="G15" i="16"/>
  <c r="G14" i="16"/>
  <c r="F22" i="16" s="1"/>
  <c r="G7" i="16"/>
  <c r="B35" i="15"/>
  <c r="B34" i="15"/>
  <c r="D34" i="15" s="1"/>
  <c r="D33" i="15"/>
  <c r="B33" i="15"/>
  <c r="B32" i="15"/>
  <c r="D32" i="15" s="1"/>
  <c r="B31" i="15"/>
  <c r="B30" i="15"/>
  <c r="D30" i="15" s="1"/>
  <c r="M28" i="15"/>
  <c r="M25" i="15"/>
  <c r="F6" i="5" s="1"/>
  <c r="F25" i="15"/>
  <c r="M22" i="15"/>
  <c r="F7" i="5" s="1"/>
  <c r="G19" i="15"/>
  <c r="G18" i="15"/>
  <c r="G17" i="15"/>
  <c r="G16" i="15"/>
  <c r="G15" i="15"/>
  <c r="G14" i="15"/>
  <c r="F22" i="15" s="1"/>
  <c r="G7" i="15"/>
  <c r="D35" i="14"/>
  <c r="B35" i="14"/>
  <c r="B34" i="14"/>
  <c r="D34" i="14" s="1"/>
  <c r="B33" i="14"/>
  <c r="D33" i="14" s="1"/>
  <c r="B32" i="14"/>
  <c r="D32" i="14" s="1"/>
  <c r="B31" i="14"/>
  <c r="D31" i="14" s="1"/>
  <c r="B30" i="14"/>
  <c r="D30" i="14" s="1"/>
  <c r="M28" i="14"/>
  <c r="G7" i="14" s="1"/>
  <c r="M25" i="14"/>
  <c r="E6" i="5" s="1"/>
  <c r="F25" i="14"/>
  <c r="M22" i="14"/>
  <c r="E7" i="5" s="1"/>
  <c r="G19" i="14"/>
  <c r="G18" i="14"/>
  <c r="G17" i="14"/>
  <c r="G16" i="14"/>
  <c r="G15" i="14"/>
  <c r="G14" i="14"/>
  <c r="F22" i="14" s="1"/>
  <c r="B36" i="13"/>
  <c r="B35" i="13"/>
  <c r="D35" i="13" s="1"/>
  <c r="B34" i="13"/>
  <c r="B33" i="13"/>
  <c r="D33" i="13" s="1"/>
  <c r="B32" i="13"/>
  <c r="D32" i="13" s="1"/>
  <c r="B31" i="13"/>
  <c r="D31" i="13" s="1"/>
  <c r="M28" i="13"/>
  <c r="G7" i="13" s="1"/>
  <c r="M25" i="13"/>
  <c r="D6" i="5" s="1"/>
  <c r="F26" i="13"/>
  <c r="M22" i="13"/>
  <c r="D7" i="5" s="1"/>
  <c r="G20" i="13"/>
  <c r="G19" i="13"/>
  <c r="G18" i="13"/>
  <c r="G17" i="13"/>
  <c r="G16" i="13"/>
  <c r="G15" i="13"/>
  <c r="F23" i="13" s="1"/>
  <c r="B35" i="12"/>
  <c r="D34" i="12"/>
  <c r="B34" i="12"/>
  <c r="B33" i="12"/>
  <c r="B32" i="12"/>
  <c r="B31" i="12"/>
  <c r="B30" i="12"/>
  <c r="D30" i="12" s="1"/>
  <c r="M28" i="12"/>
  <c r="G7" i="12" s="1"/>
  <c r="M25" i="12"/>
  <c r="O6" i="5" s="1"/>
  <c r="F25" i="12"/>
  <c r="M22" i="12"/>
  <c r="O7" i="5" s="1"/>
  <c r="G19" i="12"/>
  <c r="G18" i="12"/>
  <c r="G17" i="12"/>
  <c r="G16" i="12"/>
  <c r="G15" i="12"/>
  <c r="G14" i="12"/>
  <c r="F22" i="12" s="1"/>
  <c r="B35" i="11"/>
  <c r="B34" i="11"/>
  <c r="D34" i="11" s="1"/>
  <c r="D33" i="11"/>
  <c r="B33" i="11"/>
  <c r="B32" i="11"/>
  <c r="D32" i="11" s="1"/>
  <c r="B31" i="11"/>
  <c r="D31" i="11" s="1"/>
  <c r="B30" i="11"/>
  <c r="D30" i="11" s="1"/>
  <c r="M28" i="11"/>
  <c r="G7" i="11" s="1"/>
  <c r="M25" i="11"/>
  <c r="N6" i="5" s="1"/>
  <c r="F25" i="11"/>
  <c r="M22" i="11"/>
  <c r="N7" i="5" s="1"/>
  <c r="G19" i="11"/>
  <c r="G18" i="11"/>
  <c r="G17" i="11"/>
  <c r="G16" i="11"/>
  <c r="G15" i="11"/>
  <c r="G14" i="11"/>
  <c r="F22" i="11" s="1"/>
  <c r="B35" i="10"/>
  <c r="B34" i="10"/>
  <c r="D34" i="10" s="1"/>
  <c r="B33" i="10"/>
  <c r="D33" i="10" s="1"/>
  <c r="B32" i="10"/>
  <c r="D32" i="10" s="1"/>
  <c r="B31" i="10"/>
  <c r="B30" i="10"/>
  <c r="D30" i="10" s="1"/>
  <c r="M28" i="10"/>
  <c r="M25" i="10"/>
  <c r="M6" i="5" s="1"/>
  <c r="F25" i="10"/>
  <c r="M22" i="10"/>
  <c r="M7" i="5" s="1"/>
  <c r="G19" i="10"/>
  <c r="G18" i="10"/>
  <c r="G17" i="10"/>
  <c r="G16" i="10"/>
  <c r="G15" i="10"/>
  <c r="G14" i="10"/>
  <c r="F22" i="10" s="1"/>
  <c r="G7" i="10"/>
  <c r="B37" i="9"/>
  <c r="B36" i="9"/>
  <c r="D36" i="9" s="1"/>
  <c r="B35" i="9"/>
  <c r="B34" i="9"/>
  <c r="D34" i="9" s="1"/>
  <c r="B33" i="9"/>
  <c r="D33" i="9" s="1"/>
  <c r="B32" i="9"/>
  <c r="D32" i="9" s="1"/>
  <c r="M28" i="9"/>
  <c r="G7" i="9" s="1"/>
  <c r="M25" i="9"/>
  <c r="L6" i="5" s="1"/>
  <c r="F27" i="9"/>
  <c r="M22" i="9"/>
  <c r="L7" i="5" s="1"/>
  <c r="G21" i="9"/>
  <c r="G20" i="9"/>
  <c r="G19" i="9"/>
  <c r="G18" i="9"/>
  <c r="G17" i="9"/>
  <c r="G16" i="9"/>
  <c r="B35" i="8"/>
  <c r="B34" i="8"/>
  <c r="D34" i="8" s="1"/>
  <c r="B33" i="8"/>
  <c r="D33" i="8" s="1"/>
  <c r="B32" i="8"/>
  <c r="D32" i="8" s="1"/>
  <c r="B31" i="8"/>
  <c r="D31" i="8" s="1"/>
  <c r="B30" i="8"/>
  <c r="D30" i="8" s="1"/>
  <c r="M28" i="8"/>
  <c r="G7" i="8" s="1"/>
  <c r="M25" i="8"/>
  <c r="K6" i="5" s="1"/>
  <c r="F25" i="8"/>
  <c r="M22" i="8"/>
  <c r="K7" i="5" s="1"/>
  <c r="G19" i="8"/>
  <c r="G18" i="8"/>
  <c r="G17" i="8"/>
  <c r="G16" i="8"/>
  <c r="G15" i="8"/>
  <c r="G14" i="8"/>
  <c r="F22" i="8" s="1"/>
  <c r="B35" i="7"/>
  <c r="B34" i="7"/>
  <c r="D34" i="7" s="1"/>
  <c r="B33" i="7"/>
  <c r="D33" i="7" s="1"/>
  <c r="B32" i="7"/>
  <c r="B31" i="7"/>
  <c r="D31" i="7" s="1"/>
  <c r="B30" i="7"/>
  <c r="D30" i="7" s="1"/>
  <c r="M28" i="7"/>
  <c r="G7" i="7" s="1"/>
  <c r="M25" i="7"/>
  <c r="J6" i="5" s="1"/>
  <c r="F25" i="7"/>
  <c r="M22" i="7"/>
  <c r="J7" i="5" s="1"/>
  <c r="G19" i="7"/>
  <c r="G18" i="7"/>
  <c r="G17" i="7"/>
  <c r="G16" i="7"/>
  <c r="G15" i="7"/>
  <c r="G14" i="7"/>
  <c r="F22" i="7" s="1"/>
  <c r="F23" i="1"/>
  <c r="M28" i="1"/>
  <c r="G7" i="1" s="1"/>
  <c r="M25" i="1"/>
  <c r="I6" i="5" s="1"/>
  <c r="M22" i="1"/>
  <c r="I7" i="5" s="1"/>
  <c r="E31" i="11" l="1"/>
  <c r="E33" i="11"/>
  <c r="D35" i="11"/>
  <c r="E35" i="11" s="1"/>
  <c r="E31" i="16"/>
  <c r="D33" i="16"/>
  <c r="E33" i="16" s="1"/>
  <c r="E31" i="17"/>
  <c r="D33" i="17"/>
  <c r="E33" i="17" s="1"/>
  <c r="E35" i="16"/>
  <c r="E35" i="17"/>
  <c r="F24" i="9"/>
  <c r="D37" i="9"/>
  <c r="E37" i="9" s="1"/>
  <c r="E33" i="9"/>
  <c r="D35" i="9"/>
  <c r="E31" i="8"/>
  <c r="E33" i="8"/>
  <c r="D35" i="8"/>
  <c r="E35" i="8" s="1"/>
  <c r="E31" i="14"/>
  <c r="E33" i="14"/>
  <c r="E35" i="14"/>
  <c r="D36" i="13"/>
  <c r="E36" i="13" s="1"/>
  <c r="E32" i="13"/>
  <c r="D34" i="13"/>
  <c r="E34" i="13" s="1"/>
  <c r="D31" i="15"/>
  <c r="E31" i="15" s="1"/>
  <c r="E33" i="15"/>
  <c r="D35" i="15"/>
  <c r="E35" i="15" s="1"/>
  <c r="E30" i="12"/>
  <c r="D32" i="12"/>
  <c r="E32" i="12" s="1"/>
  <c r="E34" i="12"/>
  <c r="D31" i="10"/>
  <c r="E31" i="10" s="1"/>
  <c r="E33" i="10"/>
  <c r="D35" i="10"/>
  <c r="E35" i="10" s="1"/>
  <c r="D36" i="17"/>
  <c r="E30" i="17"/>
  <c r="E32" i="17"/>
  <c r="E34" i="17"/>
  <c r="D36" i="16"/>
  <c r="E30" i="16"/>
  <c r="E32" i="16"/>
  <c r="E34" i="16"/>
  <c r="D36" i="15"/>
  <c r="E30" i="15"/>
  <c r="E32" i="15"/>
  <c r="E34" i="15"/>
  <c r="D36" i="14"/>
  <c r="E30" i="14"/>
  <c r="E32" i="14"/>
  <c r="E34" i="14"/>
  <c r="E31" i="13"/>
  <c r="E33" i="13"/>
  <c r="E35" i="13"/>
  <c r="E35" i="12"/>
  <c r="D31" i="12"/>
  <c r="D33" i="12"/>
  <c r="E33" i="12" s="1"/>
  <c r="D35" i="12"/>
  <c r="E30" i="11"/>
  <c r="E32" i="11"/>
  <c r="E34" i="11"/>
  <c r="E30" i="10"/>
  <c r="E32" i="10"/>
  <c r="E34" i="10"/>
  <c r="E32" i="9"/>
  <c r="E34" i="9"/>
  <c r="E36" i="9"/>
  <c r="E30" i="8"/>
  <c r="E32" i="8"/>
  <c r="E34" i="8"/>
  <c r="E30" i="7"/>
  <c r="D32" i="7"/>
  <c r="E32" i="7" s="1"/>
  <c r="E34" i="7"/>
  <c r="E31" i="7"/>
  <c r="E33" i="7"/>
  <c r="D35" i="7"/>
  <c r="E35" i="7" s="1"/>
  <c r="B32" i="1"/>
  <c r="B33" i="1"/>
  <c r="B34" i="1"/>
  <c r="B36" i="1"/>
  <c r="D36" i="10" l="1"/>
  <c r="D36" i="11"/>
  <c r="D38" i="9"/>
  <c r="E35" i="9"/>
  <c r="E38" i="9" s="1"/>
  <c r="G8" i="9" s="1"/>
  <c r="L5" i="5" s="1"/>
  <c r="L9" i="5" s="1"/>
  <c r="D36" i="8"/>
  <c r="D37" i="13"/>
  <c r="D36" i="12"/>
  <c r="E36" i="17"/>
  <c r="G8" i="17" s="1"/>
  <c r="H5" i="5" s="1"/>
  <c r="H9" i="5" s="1"/>
  <c r="E36" i="16"/>
  <c r="G8" i="16" s="1"/>
  <c r="G5" i="5" s="1"/>
  <c r="G9" i="5" s="1"/>
  <c r="E36" i="15"/>
  <c r="G8" i="15" s="1"/>
  <c r="F5" i="5" s="1"/>
  <c r="F9" i="5" s="1"/>
  <c r="E36" i="14"/>
  <c r="G8" i="14" s="1"/>
  <c r="E5" i="5" s="1"/>
  <c r="E9" i="5" s="1"/>
  <c r="E37" i="13"/>
  <c r="G8" i="13" s="1"/>
  <c r="D5" i="5" s="1"/>
  <c r="D9" i="5" s="1"/>
  <c r="E31" i="12"/>
  <c r="E36" i="12" s="1"/>
  <c r="G8" i="12" s="1"/>
  <c r="O5" i="5" s="1"/>
  <c r="O9" i="5" s="1"/>
  <c r="E36" i="11"/>
  <c r="G8" i="11" s="1"/>
  <c r="N5" i="5" s="1"/>
  <c r="N9" i="5" s="1"/>
  <c r="E36" i="10"/>
  <c r="G8" i="10" s="1"/>
  <c r="M5" i="5" s="1"/>
  <c r="M9" i="5" s="1"/>
  <c r="E36" i="8"/>
  <c r="G8" i="8" s="1"/>
  <c r="K5" i="5" s="1"/>
  <c r="K9" i="5" s="1"/>
  <c r="D36" i="7"/>
  <c r="E36" i="7"/>
  <c r="G8" i="7" s="1"/>
  <c r="D33" i="1"/>
  <c r="E33" i="1" s="1"/>
  <c r="D36" i="1"/>
  <c r="E36" i="1" s="1"/>
  <c r="D34" i="1"/>
  <c r="E34" i="1" s="1"/>
  <c r="D32" i="1"/>
  <c r="E32" i="1" s="1"/>
  <c r="B35" i="1"/>
  <c r="F26" i="1"/>
  <c r="B31" i="1"/>
  <c r="G10" i="7" l="1"/>
  <c r="J5" i="5"/>
  <c r="J9" i="5" s="1"/>
  <c r="G10" i="17"/>
  <c r="G10" i="16"/>
  <c r="G10" i="15"/>
  <c r="G10" i="14"/>
  <c r="G10" i="13"/>
  <c r="G10" i="12"/>
  <c r="G10" i="11"/>
  <c r="G10" i="10"/>
  <c r="G10" i="9"/>
  <c r="G10" i="8"/>
  <c r="K8" i="7"/>
  <c r="C5" i="8" s="1"/>
  <c r="G6" i="8" s="1"/>
  <c r="G9" i="8" s="1"/>
  <c r="C6" i="8" s="1"/>
  <c r="K7" i="7"/>
  <c r="K6" i="7"/>
  <c r="D31" i="1"/>
  <c r="E31" i="1" s="1"/>
  <c r="D35" i="1"/>
  <c r="E35" i="1" s="1"/>
  <c r="K8" i="17" l="1"/>
  <c r="K7" i="17"/>
  <c r="K6" i="17"/>
  <c r="K8" i="16"/>
  <c r="C5" i="17" s="1"/>
  <c r="G6" i="17" s="1"/>
  <c r="G9" i="17" s="1"/>
  <c r="C6" i="17" s="1"/>
  <c r="K7" i="16"/>
  <c r="K6" i="16"/>
  <c r="K8" i="15"/>
  <c r="C5" i="16" s="1"/>
  <c r="G6" i="16" s="1"/>
  <c r="G9" i="16" s="1"/>
  <c r="C6" i="16" s="1"/>
  <c r="K7" i="15"/>
  <c r="K6" i="15"/>
  <c r="K8" i="14"/>
  <c r="C5" i="15" s="1"/>
  <c r="G6" i="15" s="1"/>
  <c r="G9" i="15" s="1"/>
  <c r="C6" i="15" s="1"/>
  <c r="K7" i="14"/>
  <c r="K6" i="14"/>
  <c r="K8" i="13"/>
  <c r="C5" i="14" s="1"/>
  <c r="G6" i="14" s="1"/>
  <c r="G9" i="14" s="1"/>
  <c r="C6" i="14" s="1"/>
  <c r="K7" i="13"/>
  <c r="K6" i="13"/>
  <c r="K8" i="12"/>
  <c r="C5" i="13" s="1"/>
  <c r="G6" i="13" s="1"/>
  <c r="G9" i="13" s="1"/>
  <c r="C6" i="13" s="1"/>
  <c r="K7" i="12"/>
  <c r="K6" i="12"/>
  <c r="K8" i="11"/>
  <c r="C5" i="12" s="1"/>
  <c r="G6" i="12" s="1"/>
  <c r="G9" i="12" s="1"/>
  <c r="C6" i="12" s="1"/>
  <c r="K7" i="11"/>
  <c r="K6" i="11"/>
  <c r="K8" i="10"/>
  <c r="C5" i="11" s="1"/>
  <c r="G6" i="11" s="1"/>
  <c r="G9" i="11" s="1"/>
  <c r="C6" i="11" s="1"/>
  <c r="K7" i="10"/>
  <c r="K6" i="10"/>
  <c r="K8" i="9"/>
  <c r="C5" i="10" s="1"/>
  <c r="G6" i="10" s="1"/>
  <c r="G9" i="10" s="1"/>
  <c r="C6" i="10" s="1"/>
  <c r="K7" i="9"/>
  <c r="K8" i="8"/>
  <c r="C5" i="9" s="1"/>
  <c r="G6" i="9" s="1"/>
  <c r="G9" i="9" s="1"/>
  <c r="C6" i="9" s="1"/>
  <c r="K7" i="8"/>
  <c r="E37" i="1"/>
  <c r="G8" i="1" s="1"/>
  <c r="I5" i="5" s="1"/>
  <c r="D37" i="1"/>
  <c r="I9" i="5" l="1"/>
  <c r="E14" i="5"/>
  <c r="I14" i="5" s="1"/>
  <c r="G9" i="1"/>
  <c r="C6" i="1" s="1"/>
  <c r="G10" i="1"/>
  <c r="K7" i="1" l="1"/>
  <c r="K8" i="1"/>
  <c r="C5" i="7" s="1"/>
  <c r="G6" i="7" s="1"/>
  <c r="G9" i="7" s="1"/>
  <c r="C6" i="7" s="1"/>
</calcChain>
</file>

<file path=xl/sharedStrings.xml><?xml version="1.0" encoding="utf-8"?>
<sst xmlns="http://schemas.openxmlformats.org/spreadsheetml/2006/main" count="594" uniqueCount="65">
  <si>
    <t>SALDO ANTERIOR</t>
  </si>
  <si>
    <t>SALDO ATUAL</t>
  </si>
  <si>
    <t>CAIXA</t>
  </si>
  <si>
    <t>DESPESAS</t>
  </si>
  <si>
    <t>RECEITAS</t>
  </si>
  <si>
    <t>CAIO</t>
  </si>
  <si>
    <t>FERNANDA</t>
  </si>
  <si>
    <t>DESCRIÇÃO</t>
  </si>
  <si>
    <t>DATA</t>
  </si>
  <si>
    <t>VALOR BRUTO</t>
  </si>
  <si>
    <t>VALOR LÍQUIDO</t>
  </si>
  <si>
    <t>FORMA DE PAGAMENTO</t>
  </si>
  <si>
    <t>DESCONTO</t>
  </si>
  <si>
    <t>DATA DE VENCIMENTO</t>
  </si>
  <si>
    <t>DATA DO PAGAMENTO</t>
  </si>
  <si>
    <t>VALOR</t>
  </si>
  <si>
    <t>TIPO</t>
  </si>
  <si>
    <t xml:space="preserve">DESPESAS </t>
  </si>
  <si>
    <t>TOTAL</t>
  </si>
  <si>
    <t>TOTAL FIXA</t>
  </si>
  <si>
    <t>TOTAL VARIÁVEL</t>
  </si>
  <si>
    <t>Fundo de Caixa</t>
  </si>
  <si>
    <t>TOTAL DE DESPESAS</t>
  </si>
  <si>
    <t>DRE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</si>
  <si>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</si>
  <si>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</si>
  <si>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</si>
  <si>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</si>
  <si>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</si>
  <si>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</si>
  <si>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</si>
  <si>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</si>
  <si>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</si>
  <si>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</si>
  <si>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</si>
  <si>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</si>
  <si>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DESPESAS FIXAS</t>
  </si>
  <si>
    <t>DESPESAS VARIÁVEIS</t>
  </si>
  <si>
    <t>RECEITA</t>
  </si>
  <si>
    <t>INVESTIMENTOS</t>
  </si>
  <si>
    <t>LUCRO OU PREJUÍZO</t>
  </si>
  <si>
    <t>FATURAMENTO ANUAL</t>
  </si>
  <si>
    <t>LUCRO ANUAL</t>
  </si>
  <si>
    <t>TOTAL INVESTIDO</t>
  </si>
  <si>
    <t>BANDEIRA</t>
  </si>
  <si>
    <t>VISA DÉBITO</t>
  </si>
  <si>
    <t>MASTER DÉBITO</t>
  </si>
  <si>
    <t>ELO DÉBITO</t>
  </si>
  <si>
    <t>RECEBIMENTO LÍQUIDO CARTÕES</t>
  </si>
  <si>
    <t>TAXA (%)</t>
  </si>
  <si>
    <t>TAXA (R$)</t>
  </si>
  <si>
    <t>VISA CRÉDITO</t>
  </si>
  <si>
    <t>MASTER CRÉDITO</t>
  </si>
  <si>
    <t>ELO CRÉDITO</t>
  </si>
  <si>
    <t>TOTAL CARTÃO</t>
  </si>
  <si>
    <t>PIX</t>
  </si>
  <si>
    <t>DOC</t>
  </si>
  <si>
    <t>TED</t>
  </si>
  <si>
    <t>À VISTA</t>
  </si>
  <si>
    <t>TOTAL DINHEIRO</t>
  </si>
  <si>
    <t xml:space="preserve">                   </t>
  </si>
  <si>
    <t>Cliente</t>
  </si>
  <si>
    <t>PRÓ-LABORE</t>
  </si>
  <si>
    <t>LUCRO</t>
  </si>
  <si>
    <t>Caio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</si>
</sst>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&quot;R$&quot;* #,##0.00_);_(&quot;R$&quot;* \(#,##0.00\);_(&quot;R$&quot;* &quot;-&quot;??_);_(@_)"/>
    <numFmt numFmtId="165" formatCode="m/d/yyyy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EF6E26"/>
      <name val="Gilroy Light"/>
      <family val="3"/>
    </font>
    <font>
      <b/>
      <sz val="10"/>
      <color rgb="FF6B1E1E"/>
      <name val="Gilroy Light"/>
      <family val="3"/>
    </font>
    <font>
      <b/>
      <sz val="10"/>
      <color rgb="FFEF6E26"/>
      <name val="Gilroy Light"/>
      <family val="3"/>
    </font>
    <font>
      <b/>
      <sz val="11"/>
      <color rgb="FF6B1E1E"/>
      <name val="Gilroy Light"/>
      <family val="3"/>
    </font>
    <font>
      <sz val="11"/>
      <color rgb="FF6B1E1E"/>
      <name val="Gilroy Light"/>
      <family val="3"/>
    </font>
    <font>
      <sz val="10"/>
      <color rgb="FF6B1E1E"/>
      <name val="Gilroy Light"/>
      <family val="3"/>
    </font>
    <font>
      <u/>
      <sz val="11"/>
      <color theme="1"/>
      <name val="Calibri"/>
      <family val="2"/>
      <scheme val="minor"/>
    </font>
    <font>
      <sz val="28"/>
      <color rgb="FFEF6E26"/>
      <name val="Gilroy ExtraBold"/>
      <family val="3"/>
    </font>
    <font>
      <sz val="11"/>
      <color theme="1"/>
      <name val="Gilroy Light"/>
      <family val="3"/>
    </font>
    <font>
      <b/>
      <sz val="11"/>
      <color rgb="FFEF6E26"/>
      <name val="Gilroy Light"/>
      <family val="3"/>
    </font>
    <font>
      <sz val="20"/>
      <color rgb="FFEF6E26"/>
      <name val="Gilroy Light"/>
      <family val="3"/>
    </font>
    <font>
      <sz val="45"/>
      <color rgb="FFEF6E26"/>
      <name val="Gilroy Light"/>
      <family val="3"/>
    </font>
    <font>
      <sz val="11"/>
      <name val="Gilroy Light"/>
      <family val="3"/>
    </font>
    <font>
      <sz val="11"/>
      <color rgb="FFC00000"/>
      <name val="Gilroy Light"/>
      <family val="3"/>
    </font>
    <font>
      <b/>
      <sz val="24"/>
      <color rgb="FFC00000"/>
      <name val="Gilroy Light"/>
      <family val="3"/>
    </font>
    <font>
      <sz val="20"/>
      <color rgb="FFC00000"/>
      <name val="Gilroy Light"/>
      <family val="3"/>
    </font>
    <font>
      <sz val="14"/>
      <color theme="1"/>
      <name val="Gilroy Light"/>
      <family val="3"/>
    </font>
    <font>
      <b/>
      <sz val="14"/>
      <color rgb="FFEF6E26"/>
      <name val="Gilroy Light"/>
      <family val="3"/>
    </font>
    <font>
      <b/>
      <sz val="24"/>
      <color rgb="FFC00000"/>
      <name val="Gilroy Light"/>
    </font>
    <font>
      <sz val="8"/>
      <name val="Calibri"/>
      <family val="2"/>
      <scheme val="minor"/>
    </font>
    <font>
      <b/>
      <sz val="11"/>
      <color theme="9" tint="-0.499984740745262"/>
      <name val="Gilroy Light"/>
    </font>
    <font>
      <sz val="11"/>
      <color rgb="FFFF0000"/>
      <name val="Gilroy Light"/>
      <family val="3"/>
    </font>
    <font>
      <sz val="11"/>
      <color rgb="FFFF0000"/>
      <name val="Gilroy Light"/>
    </font>
  </fonts>
  <fills count="7">
    <fill>
      <patternFill patternType="none"/>
    </fill>
    <fill>
      <patternFill patternType="gray125"/>
    </fill>
    <fill>
      <patternFill patternType="solid">
        <fgColor rgb="FF6B1E1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6E26"/>
        <bgColor indexed="64"/>
      </patternFill>
    </fill>
    <fill>
      <patternFill patternType="solid">
        <fgColor theme="9" tint="0.39997558519241921"/>
        <bgColor indexed="64"/>
      </patternFill>
    </fill>
  </fills>
  <borders count="27">
    <border>
      <left/>
      <right/>
      <top/>
      <bottom/>
      <diagonal/>
    </border>
    <border>
      <left style="thin">
        <color rgb="FF6B1E1E"/>
      </left>
      <right/>
      <top/>
      <bottom/>
      <diagonal/>
    </border>
    <border>
      <left style="thin">
        <color rgb="FF6B1E1E"/>
      </left>
      <right style="thin">
        <color rgb="FF6B1E1E"/>
      </right>
      <top style="thin">
        <color rgb="FF6B1E1E"/>
      </top>
      <bottom style="thin">
        <color rgb="FF6B1E1E"/>
      </bottom>
      <diagonal/>
    </border>
    <border>
      <left style="thin">
        <color rgb="FF6B1E1E"/>
      </left>
      <right style="thin">
        <color rgb="FF6B1E1E"/>
      </right>
      <top/>
      <bottom style="thin">
        <color rgb="FF6B1E1E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/>
      <right/>
      <top/>
      <bottom style="thick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 style="medium">
        <color rgb="FF6B1E1E"/>
      </left>
      <right style="medium">
        <color rgb="FF6B1E1E"/>
      </right>
      <top style="medium">
        <color rgb="FF6B1E1E"/>
      </top>
      <bottom style="medium">
        <color rgb="FF6B1E1E"/>
      </bottom>
      <diagonal/>
    </border>
    <border>
      <left style="thin">
        <color rgb="FF6B1E1E"/>
      </left>
      <right/>
      <top style="thin">
        <color rgb="FF6B1E1E"/>
      </top>
      <bottom/>
      <diagonal/>
    </border>
    <border>
      <left style="medium">
        <color rgb="FF6B1E1E"/>
      </left>
      <right/>
      <top/>
      <bottom style="medium">
        <color rgb="FF6B1E1E"/>
      </bottom>
      <diagonal/>
    </border>
    <border>
      <left style="thin">
        <color rgb="FF6B1E1E"/>
      </left>
      <right style="thin">
        <color rgb="FF6B1E1E"/>
      </right>
      <top/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thin">
        <color rgb="FF6B1E1E"/>
      </left>
      <right/>
      <top style="thin">
        <color rgb="FF6B1E1E"/>
      </top>
      <bottom style="thin">
        <color rgb="FF6B1E1E"/>
      </bottom>
      <diagonal/>
    </border>
    <border>
      <left/>
      <right/>
      <top style="thin">
        <color rgb="FF6B1E1E"/>
      </top>
      <bottom style="thin">
        <color rgb="FF6B1E1E"/>
      </bottom>
      <diagonal/>
    </border>
    <border>
      <left/>
      <right style="thin">
        <color rgb="FF6B1E1E"/>
      </right>
      <top style="thin">
        <color rgb="FF6B1E1E"/>
      </top>
      <bottom style="thin">
        <color rgb="FF6B1E1E"/>
      </bottom>
      <diagonal/>
    </border>
    <border>
      <left style="medium">
        <color rgb="FF6B1E1E"/>
      </left>
      <right/>
      <top/>
      <bottom/>
      <diagonal/>
    </border>
    <border>
      <left style="thin">
        <color rgb="FF6B1E1E"/>
      </left>
      <right style="thin">
        <color rgb="FF6B1E1E"/>
      </right>
      <top style="thin">
        <color rgb="FF6B1E1E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rgb="FF6B1E1E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3" borderId="3" applyFont="0" applyBorder="0" applyAlignment="0">
      <alignment horizontal="center" vertical="center"/>
    </xf>
    <xf numFmtId="0" fontId="1" fillId="0" borderId="4"/>
  </cellStyleXfs>
  <cellXfs count="115">
    <xf numFmtId="0" fontId="0" fillId="0" borderId="0" xfId="0"/>
    <xf numFmtId="0" fontId="4" fillId="0" borderId="2" xfId="0" applyFont="1" applyBorder="1" applyAlignment="1">
      <alignment horizontal="left"/>
    </xf>
    <xf numFmtId="164" fontId="6" fillId="0" borderId="2" xfId="1" applyFont="1" applyBorder="1" applyAlignment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8" fillId="2" borderId="0" xfId="0" applyFont="1" applyFill="1" applyBorder="1"/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wrapText="1"/>
    </xf>
    <xf numFmtId="0" fontId="5" fillId="0" borderId="0" xfId="0" applyFont="1" applyFill="1" applyBorder="1" applyAlignment="1">
      <alignment vertical="center"/>
    </xf>
    <xf numFmtId="0" fontId="11" fillId="0" borderId="2" xfId="0" applyFont="1" applyBorder="1"/>
    <xf numFmtId="0" fontId="11" fillId="0" borderId="0" xfId="0" applyFont="1" applyBorder="1"/>
    <xf numFmtId="9" fontId="6" fillId="0" borderId="0" xfId="2" applyFont="1" applyBorder="1" applyAlignment="1">
      <alignment horizontal="right"/>
    </xf>
    <xf numFmtId="164" fontId="6" fillId="0" borderId="0" xfId="1" applyFont="1" applyBorder="1" applyAlignment="1"/>
    <xf numFmtId="0" fontId="10" fillId="0" borderId="0" xfId="0" applyFont="1"/>
    <xf numFmtId="164" fontId="14" fillId="0" borderId="2" xfId="1" applyNumberFormat="1" applyFont="1" applyBorder="1"/>
    <xf numFmtId="164" fontId="10" fillId="0" borderId="0" xfId="0" applyNumberFormat="1" applyFont="1"/>
    <xf numFmtId="0" fontId="15" fillId="4" borderId="7" xfId="4" applyFont="1" applyFill="1" applyBorder="1" applyAlignment="1">
      <alignment horizontal="center" vertical="center"/>
    </xf>
    <xf numFmtId="0" fontId="15" fillId="4" borderId="8" xfId="4" applyFont="1" applyFill="1" applyBorder="1" applyAlignment="1">
      <alignment horizontal="center" vertical="center"/>
    </xf>
    <xf numFmtId="0" fontId="15" fillId="4" borderId="8" xfId="4" applyFont="1" applyFill="1" applyBorder="1" applyAlignment="1">
      <alignment horizontal="center" vertical="center" wrapText="1"/>
    </xf>
    <xf numFmtId="0" fontId="15" fillId="4" borderId="9" xfId="4" applyFont="1" applyFill="1" applyBorder="1" applyAlignment="1">
      <alignment horizontal="center" vertical="center" wrapText="1"/>
    </xf>
    <xf numFmtId="0" fontId="15" fillId="4" borderId="9" xfId="4" applyFont="1" applyFill="1" applyBorder="1" applyAlignment="1">
      <alignment horizontal="center" vertical="center"/>
    </xf>
    <xf numFmtId="164" fontId="15" fillId="4" borderId="11" xfId="1" applyNumberFormat="1" applyFont="1" applyFill="1" applyBorder="1" applyAlignment="1">
      <alignment horizontal="center" vertical="center"/>
    </xf>
    <xf numFmtId="0" fontId="10" fillId="0" borderId="0" xfId="4" applyFont="1" applyBorder="1" applyAlignment="1">
      <alignment horizontal="center" vertical="center"/>
    </xf>
    <xf numFmtId="14" fontId="10" fillId="0" borderId="0" xfId="4" applyNumberFormat="1" applyFont="1" applyBorder="1" applyAlignment="1">
      <alignment horizontal="center" vertical="center"/>
    </xf>
    <xf numFmtId="164" fontId="10" fillId="0" borderId="0" xfId="1" applyFont="1" applyBorder="1" applyAlignment="1">
      <alignment horizontal="center" vertical="center"/>
    </xf>
    <xf numFmtId="9" fontId="10" fillId="0" borderId="0" xfId="4" applyNumberFormat="1" applyFont="1" applyBorder="1" applyAlignment="1">
      <alignment horizontal="center" vertical="center"/>
    </xf>
    <xf numFmtId="0" fontId="10" fillId="4" borderId="0" xfId="4" applyFont="1" applyFill="1" applyBorder="1" applyAlignment="1">
      <alignment horizontal="center" vertical="center"/>
    </xf>
    <xf numFmtId="14" fontId="10" fillId="4" borderId="0" xfId="4" applyNumberFormat="1" applyFont="1" applyFill="1" applyBorder="1" applyAlignment="1">
      <alignment horizontal="center" vertical="center"/>
    </xf>
    <xf numFmtId="164" fontId="10" fillId="4" borderId="0" xfId="1" applyFont="1" applyFill="1" applyBorder="1" applyAlignment="1">
      <alignment horizontal="center" vertical="center"/>
    </xf>
    <xf numFmtId="0" fontId="16" fillId="0" borderId="5" xfId="0" applyFont="1" applyBorder="1" applyAlignment="1">
      <alignment horizontal="left" vertical="center"/>
    </xf>
    <xf numFmtId="0" fontId="10" fillId="0" borderId="5" xfId="0" applyFont="1" applyBorder="1"/>
    <xf numFmtId="0" fontId="3" fillId="0" borderId="1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horizontal="center"/>
    </xf>
    <xf numFmtId="0" fontId="19" fillId="0" borderId="2" xfId="0" applyFont="1" applyBorder="1" applyAlignment="1">
      <alignment horizontal="center"/>
    </xf>
    <xf numFmtId="164" fontId="17" fillId="0" borderId="5" xfId="1" applyFont="1" applyBorder="1" applyAlignment="1">
      <alignment horizontal="center"/>
    </xf>
    <xf numFmtId="49" fontId="10" fillId="0" borderId="15" xfId="0" applyNumberFormat="1" applyFont="1" applyFill="1" applyBorder="1"/>
    <xf numFmtId="49" fontId="10" fillId="0" borderId="2" xfId="0" applyNumberFormat="1" applyFont="1" applyBorder="1"/>
    <xf numFmtId="0" fontId="20" fillId="0" borderId="5" xfId="0" applyFont="1" applyBorder="1" applyAlignment="1">
      <alignment horizontal="left" vertical="center"/>
    </xf>
    <xf numFmtId="164" fontId="17" fillId="0" borderId="5" xfId="1" applyFont="1" applyBorder="1" applyAlignment="1"/>
    <xf numFmtId="164" fontId="17" fillId="0" borderId="5" xfId="1" applyFont="1" applyBorder="1" applyAlignment="1">
      <alignment horizontal="center"/>
    </xf>
    <xf numFmtId="0" fontId="10" fillId="0" borderId="0" xfId="0" applyFont="1" applyBorder="1"/>
    <xf numFmtId="0" fontId="15" fillId="0" borderId="2" xfId="0" applyFont="1" applyBorder="1"/>
    <xf numFmtId="164" fontId="15" fillId="0" borderId="2" xfId="1" applyFont="1" applyBorder="1"/>
    <xf numFmtId="0" fontId="0" fillId="0" borderId="0" xfId="0" applyAlignment="1"/>
    <xf numFmtId="0" fontId="5" fillId="5" borderId="13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164" fontId="15" fillId="0" borderId="21" xfId="1" applyFont="1" applyBorder="1"/>
    <xf numFmtId="164" fontId="22" fillId="0" borderId="22" xfId="0" applyNumberFormat="1" applyFont="1" applyBorder="1"/>
    <xf numFmtId="0" fontId="23" fillId="0" borderId="22" xfId="0" applyFont="1" applyBorder="1"/>
    <xf numFmtId="164" fontId="0" fillId="0" borderId="0" xfId="0" applyNumberFormat="1"/>
    <xf numFmtId="164" fontId="24" fillId="0" borderId="22" xfId="0" applyNumberFormat="1" applyFont="1" applyBorder="1"/>
    <xf numFmtId="0" fontId="24" fillId="0" borderId="0" xfId="0" applyFont="1"/>
    <xf numFmtId="164" fontId="24" fillId="0" borderId="22" xfId="1" applyFont="1" applyBorder="1" applyProtection="1">
      <protection locked="0"/>
    </xf>
    <xf numFmtId="0" fontId="0" fillId="0" borderId="0" xfId="0" applyProtection="1">
      <protection locked="0"/>
    </xf>
    <xf numFmtId="0" fontId="15" fillId="0" borderId="7" xfId="4" applyFont="1" applyFill="1" applyBorder="1" applyAlignment="1" applyProtection="1">
      <alignment horizontal="left" vertical="center"/>
      <protection locked="0"/>
    </xf>
    <xf numFmtId="0" fontId="15" fillId="0" borderId="10" xfId="4" applyFont="1" applyFill="1" applyBorder="1" applyAlignment="1" applyProtection="1">
      <alignment horizontal="left" vertical="center"/>
      <protection locked="0"/>
    </xf>
    <xf numFmtId="0" fontId="15" fillId="0" borderId="16" xfId="4" applyFont="1" applyFill="1" applyBorder="1" applyAlignment="1" applyProtection="1">
      <alignment horizontal="left" vertical="center"/>
      <protection locked="0"/>
    </xf>
    <xf numFmtId="0" fontId="15" fillId="0" borderId="10" xfId="4" applyFont="1" applyBorder="1" applyAlignment="1" applyProtection="1">
      <alignment horizontal="left" vertical="center"/>
      <protection locked="0"/>
    </xf>
    <xf numFmtId="14" fontId="15" fillId="0" borderId="6" xfId="4" applyNumberFormat="1" applyFont="1" applyFill="1" applyBorder="1" applyAlignment="1" applyProtection="1">
      <alignment horizontal="center" vertical="center"/>
      <protection locked="0"/>
    </xf>
    <xf numFmtId="164" fontId="15" fillId="4" borderId="6" xfId="1" applyFont="1" applyFill="1" applyBorder="1" applyAlignment="1" applyProtection="1">
      <alignment horizontal="center" vertical="center"/>
      <protection locked="0"/>
    </xf>
    <xf numFmtId="9" fontId="15" fillId="0" borderId="6" xfId="4" applyNumberFormat="1" applyFont="1" applyFill="1" applyBorder="1" applyAlignment="1" applyProtection="1">
      <alignment horizontal="center" vertical="center"/>
      <protection locked="0"/>
    </xf>
    <xf numFmtId="0" fontId="15" fillId="0" borderId="6" xfId="4" applyFont="1" applyFill="1" applyBorder="1" applyAlignment="1" applyProtection="1">
      <alignment horizontal="center" vertical="center"/>
      <protection locked="0"/>
    </xf>
    <xf numFmtId="0" fontId="15" fillId="0" borderId="6" xfId="4" applyFont="1" applyBorder="1" applyAlignment="1" applyProtection="1">
      <alignment horizontal="center" vertical="center"/>
      <protection locked="0"/>
    </xf>
    <xf numFmtId="0" fontId="15" fillId="4" borderId="7" xfId="4" applyFont="1" applyFill="1" applyBorder="1" applyAlignment="1" applyProtection="1">
      <alignment horizontal="left" vertical="center"/>
      <protection locked="0"/>
    </xf>
    <xf numFmtId="0" fontId="15" fillId="4" borderId="10" xfId="4" applyFont="1" applyFill="1" applyBorder="1" applyAlignment="1" applyProtection="1">
      <alignment horizontal="left" vertical="center"/>
      <protection locked="0"/>
    </xf>
    <xf numFmtId="0" fontId="15" fillId="4" borderId="16" xfId="4" applyFont="1" applyFill="1" applyBorder="1" applyAlignment="1" applyProtection="1">
      <alignment horizontal="left" vertical="center"/>
      <protection locked="0"/>
    </xf>
    <xf numFmtId="14" fontId="15" fillId="4" borderId="6" xfId="4" applyNumberFormat="1" applyFont="1" applyFill="1" applyBorder="1" applyAlignment="1" applyProtection="1">
      <alignment horizontal="center" vertical="center"/>
      <protection locked="0"/>
    </xf>
    <xf numFmtId="0" fontId="15" fillId="4" borderId="6" xfId="4" applyFont="1" applyFill="1" applyBorder="1" applyAlignment="1" applyProtection="1">
      <alignment horizontal="center" vertical="center"/>
      <protection locked="0"/>
    </xf>
    <xf numFmtId="164" fontId="15" fillId="4" borderId="11" xfId="1" applyFont="1" applyFill="1" applyBorder="1" applyAlignment="1" applyProtection="1">
      <alignment horizontal="center" vertical="center"/>
      <protection locked="0"/>
    </xf>
    <xf numFmtId="9" fontId="15" fillId="0" borderId="2" xfId="2" applyFont="1" applyBorder="1" applyProtection="1">
      <protection locked="0"/>
    </xf>
    <xf numFmtId="9" fontId="15" fillId="0" borderId="21" xfId="2" applyFont="1" applyBorder="1" applyProtection="1">
      <protection locked="0"/>
    </xf>
    <xf numFmtId="9" fontId="6" fillId="0" borderId="2" xfId="2" applyFont="1" applyBorder="1" applyAlignment="1" applyProtection="1">
      <alignment horizontal="right"/>
      <protection locked="0"/>
    </xf>
    <xf numFmtId="0" fontId="15" fillId="0" borderId="25" xfId="4" applyFont="1" applyFill="1" applyBorder="1" applyAlignment="1" applyProtection="1">
      <alignment horizontal="left" vertical="center"/>
      <protection locked="0"/>
    </xf>
    <xf numFmtId="0" fontId="15" fillId="0" borderId="6" xfId="4" applyFont="1" applyFill="1" applyBorder="1" applyAlignment="1" applyProtection="1">
      <alignment horizontal="left" vertical="center"/>
      <protection locked="0"/>
    </xf>
    <xf numFmtId="0" fontId="15" fillId="0" borderId="0" xfId="4" applyFont="1" applyFill="1" applyBorder="1" applyAlignment="1" applyProtection="1">
      <alignment horizontal="left" vertical="center"/>
    </xf>
    <xf numFmtId="14" fontId="15" fillId="0" borderId="0" xfId="4" applyNumberFormat="1" applyFont="1" applyFill="1" applyBorder="1" applyAlignment="1" applyProtection="1">
      <alignment horizontal="center" vertical="center"/>
    </xf>
    <xf numFmtId="164" fontId="15" fillId="4" borderId="0" xfId="1" applyFont="1" applyFill="1" applyBorder="1" applyAlignment="1" applyProtection="1">
      <alignment horizontal="center" vertical="center"/>
    </xf>
    <xf numFmtId="9" fontId="15" fillId="0" borderId="0" xfId="4" applyNumberFormat="1" applyFont="1" applyFill="1" applyBorder="1" applyAlignment="1" applyProtection="1">
      <alignment horizontal="center" vertical="center"/>
    </xf>
    <xf numFmtId="0" fontId="15" fillId="0" borderId="0" xfId="4" applyFont="1" applyFill="1" applyBorder="1" applyAlignment="1" applyProtection="1">
      <alignment horizontal="center" vertical="center"/>
    </xf>
    <xf numFmtId="164" fontId="15" fillId="4" borderId="0" xfId="1" applyNumberFormat="1" applyFont="1" applyFill="1" applyBorder="1" applyAlignment="1" applyProtection="1">
      <alignment horizontal="center" vertical="center"/>
    </xf>
    <xf numFmtId="0" fontId="10" fillId="0" borderId="0" xfId="0" applyFont="1" applyProtection="1"/>
    <xf numFmtId="0" fontId="15" fillId="4" borderId="0" xfId="4" applyFont="1" applyFill="1" applyBorder="1" applyAlignment="1" applyProtection="1">
      <alignment horizontal="left" vertical="center"/>
    </xf>
    <xf numFmtId="14" fontId="15" fillId="4" borderId="0" xfId="4" applyNumberFormat="1" applyFont="1" applyFill="1" applyBorder="1" applyAlignment="1" applyProtection="1">
      <alignment horizontal="center" vertical="center"/>
    </xf>
    <xf numFmtId="0" fontId="15" fillId="4" borderId="0" xfId="4" applyFont="1" applyFill="1" applyBorder="1" applyAlignment="1" applyProtection="1">
      <alignment horizontal="center" vertical="center"/>
    </xf>
    <xf numFmtId="165" fontId="15" fillId="0" borderId="6" xfId="4" applyNumberFormat="1" applyFont="1" applyFill="1" applyBorder="1" applyAlignment="1" applyProtection="1">
      <alignment horizontal="center" vertical="center"/>
      <protection locked="0"/>
    </xf>
    <xf numFmtId="164" fontId="10" fillId="0" borderId="6" xfId="1" applyFont="1" applyBorder="1" applyAlignment="1" applyProtection="1">
      <alignment horizontal="center" vertical="center"/>
      <protection locked="0"/>
    </xf>
    <xf numFmtId="164" fontId="10" fillId="0" borderId="11" xfId="1" applyNumberFormat="1" applyFont="1" applyBorder="1" applyAlignment="1">
      <alignment horizontal="center" vertical="center"/>
    </xf>
    <xf numFmtId="0" fontId="15" fillId="6" borderId="7" xfId="4" applyFont="1" applyFill="1" applyBorder="1" applyAlignment="1" applyProtection="1">
      <alignment horizontal="left" vertical="center"/>
      <protection locked="0"/>
    </xf>
    <xf numFmtId="0" fontId="15" fillId="6" borderId="10" xfId="4" applyFont="1" applyFill="1" applyBorder="1" applyAlignment="1" applyProtection="1">
      <alignment horizontal="left" vertical="center"/>
      <protection locked="0"/>
    </xf>
    <xf numFmtId="0" fontId="5" fillId="5" borderId="23" xfId="0" applyFont="1" applyFill="1" applyBorder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164" fontId="24" fillId="0" borderId="23" xfId="0" applyNumberFormat="1" applyFont="1" applyBorder="1" applyAlignment="1">
      <alignment horizontal="center"/>
    </xf>
    <xf numFmtId="0" fontId="24" fillId="0" borderId="24" xfId="0" applyFont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164" fontId="24" fillId="0" borderId="23" xfId="1" applyFont="1" applyBorder="1" applyAlignment="1">
      <alignment horizontal="center"/>
    </xf>
    <xf numFmtId="164" fontId="24" fillId="0" borderId="24" xfId="1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164" fontId="2" fillId="2" borderId="1" xfId="1" applyNumberFormat="1" applyFont="1" applyFill="1" applyBorder="1" applyAlignment="1">
      <alignment horizontal="center" vertical="center"/>
    </xf>
    <xf numFmtId="164" fontId="2" fillId="2" borderId="0" xfId="1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10" fillId="0" borderId="0" xfId="0" applyFont="1" applyAlignment="1">
      <alignment horizontal="center"/>
    </xf>
    <xf numFmtId="164" fontId="2" fillId="2" borderId="20" xfId="1" applyFont="1" applyFill="1" applyBorder="1" applyAlignment="1">
      <alignment horizontal="center" vertical="center"/>
    </xf>
    <xf numFmtId="164" fontId="2" fillId="2" borderId="0" xfId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164" fontId="17" fillId="0" borderId="5" xfId="1" applyFont="1" applyBorder="1" applyAlignment="1" applyProtection="1">
      <alignment horizontal="center"/>
    </xf>
    <xf numFmtId="0" fontId="12" fillId="2" borderId="26" xfId="0" applyFont="1" applyFill="1" applyBorder="1" applyAlignment="1">
      <alignment horizontal="center" vertical="center"/>
    </xf>
    <xf numFmtId="164" fontId="17" fillId="0" borderId="5" xfId="1" applyFont="1" applyBorder="1" applyAlignment="1">
      <alignment horizontal="center"/>
    </xf>
  </cellXfs>
  <cellStyles count="5">
    <cellStyle name="Estilo 1" xfId="3" xr:uid="{9A3D4A5E-BFC2-4A1B-B900-8C571847307A}"/>
    <cellStyle name="Estilo 2" xfId="4" xr:uid="{A7B23298-1F48-4125-8074-132B583B6217}"/>
    <cellStyle name="Moeda" xfId="1" builtinId="4"/>
    <cellStyle name="Normal" xfId="0" builtinId="0"/>
    <cellStyle name="Porcentagem" xfId="2" builtinId="5"/>
  </cellStyles>
  <dxfs count="325"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9" tint="-0.24994659260841701"/>
      </font>
      <fill>
        <patternFill>
          <bgColor theme="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9" tint="-0.24994659260841701"/>
      </font>
      <fill>
        <patternFill>
          <bgColor theme="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9" tint="-0.24994659260841701"/>
      </font>
      <fill>
        <patternFill>
          <bgColor theme="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9" tint="-0.24994659260841701"/>
      </font>
      <fill>
        <patternFill>
          <bgColor theme="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9" tint="-0.24994659260841701"/>
      </font>
      <fill>
        <patternFill>
          <bgColor theme="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9" tint="-0.24994659260841701"/>
      </font>
      <fill>
        <patternFill>
          <bgColor theme="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9" tint="-0.24994659260841701"/>
      </font>
      <fill>
        <patternFill>
          <bgColor theme="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9" tint="-0.24994659260841701"/>
      </font>
      <fill>
        <patternFill>
          <bgColor theme="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9" tint="-0.24994659260841701"/>
      </font>
      <fill>
        <patternFill>
          <bgColor theme="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9" tint="-0.24994659260841701"/>
      </font>
      <fill>
        <patternFill>
          <bgColor theme="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9" tint="-0.24994659260841701"/>
      </font>
      <fill>
        <patternFill>
          <bgColor theme="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diagonalUp="0" diagonalDown="0">
        <left style="medium">
          <color rgb="FFC00000"/>
        </left>
        <right/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numFmt numFmtId="165" formatCode="m/d/yyyy"/>
      <alignment horizontal="center" vertical="center" textRotation="0" wrapText="0" indent="0" justifyLastLine="0" shrinkToFit="0" readingOrder="0"/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alignment horizontal="left" vertical="center" textRotation="0" wrapText="0" indent="0" justifyLastLine="0" shrinkToFit="0" readingOrder="0"/>
      <border diagonalUp="0" diagonalDown="0">
        <left/>
        <right/>
        <top style="medium">
          <color rgb="FFC00000"/>
        </top>
        <bottom style="medium">
          <color rgb="FFC00000"/>
        </bottom>
      </border>
      <protection locked="0" hidden="0"/>
    </dxf>
    <dxf>
      <border>
        <top style="medium">
          <color rgb="FFC00000"/>
        </top>
      </border>
    </dxf>
    <dxf>
      <border diagonalUp="0" diagonalDown="0"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name val="Gilroy Light"/>
        <family val="3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Gilroy Light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00000"/>
        </left>
        <right style="medium">
          <color rgb="FFC00000"/>
        </right>
        <top/>
        <bottom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9" tint="-0.24994659260841701"/>
      </font>
      <fill>
        <patternFill>
          <bgColor theme="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0" tint="-4.9989318521683403E-2"/>
        </patternFill>
      </fill>
    </dxf>
    <dxf>
      <font>
        <b val="0"/>
        <i val="0"/>
        <color rgb="FFC00000"/>
      </font>
    </dxf>
  </dxfs>
  <tableStyles count="1" defaultTableStyle="TableStyleMedium2" defaultPivotStyle="PivotStyleLight16">
    <tableStyle name="Estilo de Tabela Dinâmica 1" table="0" count="1" xr9:uid="{BDA7BE5C-009A-4B47-9393-494F7F7C07C4}">
      <tableStyleElement type="pageFieldLabels" dxfId="324"/>
    </tableStyle>
  </tableStyles>
  <colors>
    <mruColors>
      <color rgb="FFEF6E26"/>
      <color rgb="FFC00000"/>
      <color rgb="FF6B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323851</xdr:colOff>
      <xdr:row>0</xdr:row>
      <xdr:rowOff>0</xdr:rowOff>
    </xdr:from>
    <xdr:to>
      <xdr:col>12</xdr:col>
      <xdr:colOff>133351</xdr:colOff>
      <xdr:row>10</xdr:row>
      <xdr:rowOff>81921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BA75A13-1F4D-446A-BFB0-B94BC6137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1051" y="0"/>
          <a:ext cx="2857500" cy="1986921"/>
        </a:xfrm>
        <a:prstGeom prst="rect">
          <a:avLst/>
        </a:prstGeom>
      </xdr:spPr>
    </xdr:pic>
    <xdr:clientData/>
  </xdr:twoCellAnchor>
  <xdr:twoCellAnchor>
    <xdr:from>
      <xdr:col>0</xdr:col>
      <xdr:colOff>600074</xdr:colOff>
      <xdr:row>9</xdr:row>
      <xdr:rowOff>104775</xdr:rowOff>
    </xdr:from>
    <xdr:to>
      <xdr:col>4</xdr:col>
      <xdr:colOff>57149</xdr:colOff>
      <xdr:row>16</xdr:row>
      <xdr:rowOff>9524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D821A20A-1FDA-4447-A9F5-EFB65EF9F381}"/>
            </a:ext>
          </a:extLst>
        </xdr:cNvPr>
        <xdr:cNvGrpSpPr/>
      </xdr:nvGrpSpPr>
      <xdr:grpSpPr>
        <a:xfrm>
          <a:off x="600074" y="1819275"/>
          <a:ext cx="1881620" cy="1238249"/>
          <a:chOff x="590550" y="2066926"/>
          <a:chExt cx="1295400" cy="865724"/>
        </a:xfrm>
      </xdr:grpSpPr>
      <xdr:pic macro="[0]!janeiro">
        <xdr:nvPicPr>
          <xdr:cNvPr id="5" name="Imagem 4">
            <a:extLst>
              <a:ext uri="{FF2B5EF4-FFF2-40B4-BE49-F238E27FC236}">
                <a16:creationId xmlns:a16="http://schemas.microsoft.com/office/drawing/2014/main" id="{A848E738-E940-417E-9394-38EF073262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0550" y="2066926"/>
            <a:ext cx="981075" cy="865724"/>
          </a:xfrm>
          <a:prstGeom prst="rect">
            <a:avLst/>
          </a:prstGeom>
        </xdr:spPr>
      </xdr:pic>
      <xdr:sp macro="[0]!janeiro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6C76702D-66D0-43AF-8D27-8D18F62E59E9}"/>
              </a:ext>
            </a:extLst>
          </xdr:cNvPr>
          <xdr:cNvSpPr txBox="1"/>
        </xdr:nvSpPr>
        <xdr:spPr>
          <a:xfrm>
            <a:off x="1047750" y="2390775"/>
            <a:ext cx="8382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>
                <a:solidFill>
                  <a:srgbClr val="EF6E26"/>
                </a:solidFill>
                <a:latin typeface="Gilroy ExtraBold" panose="00000900000000000000" pitchFamily="50" charset="0"/>
              </a:rPr>
              <a:t>JANEIRO</a:t>
            </a:r>
          </a:p>
        </xdr:txBody>
      </xdr:sp>
    </xdr:grpSp>
    <xdr:clientData/>
  </xdr:twoCellAnchor>
  <xdr:twoCellAnchor>
    <xdr:from>
      <xdr:col>4</xdr:col>
      <xdr:colOff>238124</xdr:colOff>
      <xdr:row>9</xdr:row>
      <xdr:rowOff>85725</xdr:rowOff>
    </xdr:from>
    <xdr:to>
      <xdr:col>7</xdr:col>
      <xdr:colOff>304799</xdr:colOff>
      <xdr:row>15</xdr:row>
      <xdr:rowOff>180974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1027380A-4FFD-4272-8518-A38F2B339064}"/>
            </a:ext>
          </a:extLst>
        </xdr:cNvPr>
        <xdr:cNvGrpSpPr/>
      </xdr:nvGrpSpPr>
      <xdr:grpSpPr>
        <a:xfrm>
          <a:off x="2662669" y="1800225"/>
          <a:ext cx="1885085" cy="1238249"/>
          <a:chOff x="590550" y="2066926"/>
          <a:chExt cx="1295400" cy="865724"/>
        </a:xfrm>
      </xdr:grpSpPr>
      <xdr:pic macro="[0]!fevereiro">
        <xdr:nvPicPr>
          <xdr:cNvPr id="9" name="Imagem 8">
            <a:extLst>
              <a:ext uri="{FF2B5EF4-FFF2-40B4-BE49-F238E27FC236}">
                <a16:creationId xmlns:a16="http://schemas.microsoft.com/office/drawing/2014/main" id="{D3EA48D2-3AE9-482E-BBA5-AE503CFBF6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0550" y="2066926"/>
            <a:ext cx="981075" cy="865724"/>
          </a:xfrm>
          <a:prstGeom prst="rect">
            <a:avLst/>
          </a:prstGeom>
        </xdr:spPr>
      </xdr:pic>
      <xdr:sp macro="[0]!fevereiro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38A4EECE-9A74-4FF3-842B-E2090C4ECEAB}"/>
              </a:ext>
            </a:extLst>
          </xdr:cNvPr>
          <xdr:cNvSpPr txBox="1"/>
        </xdr:nvSpPr>
        <xdr:spPr>
          <a:xfrm>
            <a:off x="1047750" y="2390775"/>
            <a:ext cx="8382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>
                <a:solidFill>
                  <a:srgbClr val="EF6E26"/>
                </a:solidFill>
                <a:latin typeface="Gilroy ExtraBold" panose="00000900000000000000" pitchFamily="50" charset="0"/>
              </a:rPr>
              <a:t>FEVEREIRO</a:t>
            </a:r>
          </a:p>
        </xdr:txBody>
      </xdr:sp>
    </xdr:grpSp>
    <xdr:clientData/>
  </xdr:twoCellAnchor>
  <xdr:twoCellAnchor>
    <xdr:from>
      <xdr:col>7</xdr:col>
      <xdr:colOff>438149</xdr:colOff>
      <xdr:row>9</xdr:row>
      <xdr:rowOff>85725</xdr:rowOff>
    </xdr:from>
    <xdr:to>
      <xdr:col>10</xdr:col>
      <xdr:colOff>504824</xdr:colOff>
      <xdr:row>15</xdr:row>
      <xdr:rowOff>180974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97592804-2D46-4F2F-8938-CD1D4B51AE5D}"/>
            </a:ext>
          </a:extLst>
        </xdr:cNvPr>
        <xdr:cNvGrpSpPr/>
      </xdr:nvGrpSpPr>
      <xdr:grpSpPr>
        <a:xfrm>
          <a:off x="4681104" y="1800225"/>
          <a:ext cx="1885084" cy="1238249"/>
          <a:chOff x="590550" y="2066926"/>
          <a:chExt cx="1295400" cy="865724"/>
        </a:xfrm>
      </xdr:grpSpPr>
      <xdr:pic macro="[0]!marco">
        <xdr:nvPicPr>
          <xdr:cNvPr id="12" name="Imagem 11">
            <a:extLst>
              <a:ext uri="{FF2B5EF4-FFF2-40B4-BE49-F238E27FC236}">
                <a16:creationId xmlns:a16="http://schemas.microsoft.com/office/drawing/2014/main" id="{22D194DB-6AC9-4EDC-819A-0251454C45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0550" y="2066926"/>
            <a:ext cx="981075" cy="865724"/>
          </a:xfrm>
          <a:prstGeom prst="rect">
            <a:avLst/>
          </a:prstGeom>
        </xdr:spPr>
      </xdr:pic>
      <xdr:sp macro="[0]!marco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13BFB01-BF83-4C04-9ED1-5A4857087B59}"/>
              </a:ext>
            </a:extLst>
          </xdr:cNvPr>
          <xdr:cNvSpPr txBox="1"/>
        </xdr:nvSpPr>
        <xdr:spPr>
          <a:xfrm>
            <a:off x="1047750" y="2390775"/>
            <a:ext cx="8382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>
                <a:solidFill>
                  <a:srgbClr val="EF6E26"/>
                </a:solidFill>
                <a:latin typeface="Gilroy ExtraBold" panose="00000900000000000000" pitchFamily="50" charset="0"/>
              </a:rPr>
              <a:t>MARÇO</a:t>
            </a:r>
          </a:p>
        </xdr:txBody>
      </xdr:sp>
    </xdr:grpSp>
    <xdr:clientData/>
  </xdr:twoCellAnchor>
  <xdr:twoCellAnchor>
    <xdr:from>
      <xdr:col>10</xdr:col>
      <xdr:colOff>609599</xdr:colOff>
      <xdr:row>9</xdr:row>
      <xdr:rowOff>95250</xdr:rowOff>
    </xdr:from>
    <xdr:to>
      <xdr:col>14</xdr:col>
      <xdr:colOff>66674</xdr:colOff>
      <xdr:row>15</xdr:row>
      <xdr:rowOff>190499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AB9D95-41F0-45FA-B327-04B6AC28FC4B}"/>
            </a:ext>
          </a:extLst>
        </xdr:cNvPr>
        <xdr:cNvGrpSpPr/>
      </xdr:nvGrpSpPr>
      <xdr:grpSpPr>
        <a:xfrm>
          <a:off x="6670963" y="1809750"/>
          <a:ext cx="1881620" cy="1238249"/>
          <a:chOff x="590550" y="2066926"/>
          <a:chExt cx="1295400" cy="865724"/>
        </a:xfrm>
      </xdr:grpSpPr>
      <xdr:pic macro="[0]!abril">
        <xdr:nvPicPr>
          <xdr:cNvPr id="15" name="Imagem 14">
            <a:extLst>
              <a:ext uri="{FF2B5EF4-FFF2-40B4-BE49-F238E27FC236}">
                <a16:creationId xmlns:a16="http://schemas.microsoft.com/office/drawing/2014/main" id="{191F8AEB-33F8-4697-8176-D4B44A196E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0550" y="2066926"/>
            <a:ext cx="981075" cy="865724"/>
          </a:xfrm>
          <a:prstGeom prst="rect">
            <a:avLst/>
          </a:prstGeom>
        </xdr:spPr>
      </xdr:pic>
      <xdr:sp macro="[0]!abril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1C2B7872-D1FE-4624-A9A8-8EFA261CA89A}"/>
              </a:ext>
            </a:extLst>
          </xdr:cNvPr>
          <xdr:cNvSpPr txBox="1"/>
        </xdr:nvSpPr>
        <xdr:spPr>
          <a:xfrm>
            <a:off x="1047750" y="2390775"/>
            <a:ext cx="8382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>
                <a:solidFill>
                  <a:srgbClr val="EF6E26"/>
                </a:solidFill>
                <a:latin typeface="Gilroy ExtraBold" panose="00000900000000000000" pitchFamily="50" charset="0"/>
              </a:rPr>
              <a:t>ABRIL</a:t>
            </a:r>
          </a:p>
        </xdr:txBody>
      </xdr:sp>
    </xdr:grpSp>
    <xdr:clientData/>
  </xdr:twoCellAnchor>
  <xdr:twoCellAnchor>
    <xdr:from>
      <xdr:col>14</xdr:col>
      <xdr:colOff>28574</xdr:colOff>
      <xdr:row>9</xdr:row>
      <xdr:rowOff>76200</xdr:rowOff>
    </xdr:from>
    <xdr:to>
      <xdr:col>17</xdr:col>
      <xdr:colOff>95249</xdr:colOff>
      <xdr:row>15</xdr:row>
      <xdr:rowOff>171449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26A7173D-1181-4E9D-8D04-684ED9A5EC94}"/>
            </a:ext>
          </a:extLst>
        </xdr:cNvPr>
        <xdr:cNvGrpSpPr/>
      </xdr:nvGrpSpPr>
      <xdr:grpSpPr>
        <a:xfrm>
          <a:off x="8514483" y="1790700"/>
          <a:ext cx="1885084" cy="1238249"/>
          <a:chOff x="590550" y="2066926"/>
          <a:chExt cx="1295400" cy="865724"/>
        </a:xfrm>
      </xdr:grpSpPr>
      <xdr:pic macro="[0]!maio">
        <xdr:nvPicPr>
          <xdr:cNvPr id="18" name="Imagem 17">
            <a:extLst>
              <a:ext uri="{FF2B5EF4-FFF2-40B4-BE49-F238E27FC236}">
                <a16:creationId xmlns:a16="http://schemas.microsoft.com/office/drawing/2014/main" id="{69B85B6C-1FFE-475B-AE79-3670275C03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0550" y="2066926"/>
            <a:ext cx="981075" cy="865724"/>
          </a:xfrm>
          <a:prstGeom prst="rect">
            <a:avLst/>
          </a:prstGeom>
        </xdr:spPr>
      </xdr:pic>
      <xdr:sp macro="[0]!maio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212B64E6-88B2-4AD8-9198-87B27B302920}"/>
              </a:ext>
            </a:extLst>
          </xdr:cNvPr>
          <xdr:cNvSpPr txBox="1"/>
        </xdr:nvSpPr>
        <xdr:spPr>
          <a:xfrm>
            <a:off x="1047750" y="2390775"/>
            <a:ext cx="8382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>
                <a:solidFill>
                  <a:srgbClr val="EF6E26"/>
                </a:solidFill>
                <a:latin typeface="Gilroy ExtraBold" panose="00000900000000000000" pitchFamily="50" charset="0"/>
              </a:rPr>
              <a:t>MAIO</a:t>
            </a:r>
          </a:p>
        </xdr:txBody>
      </xdr:sp>
    </xdr:grpSp>
    <xdr:clientData/>
  </xdr:twoCellAnchor>
  <xdr:twoCellAnchor>
    <xdr:from>
      <xdr:col>17</xdr:col>
      <xdr:colOff>28574</xdr:colOff>
      <xdr:row>9</xdr:row>
      <xdr:rowOff>66675</xdr:rowOff>
    </xdr:from>
    <xdr:to>
      <xdr:col>20</xdr:col>
      <xdr:colOff>95249</xdr:colOff>
      <xdr:row>15</xdr:row>
      <xdr:rowOff>161924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D7CE37ED-28A3-49D1-8446-E7A00C3302DF}"/>
            </a:ext>
          </a:extLst>
        </xdr:cNvPr>
        <xdr:cNvGrpSpPr/>
      </xdr:nvGrpSpPr>
      <xdr:grpSpPr>
        <a:xfrm>
          <a:off x="10332892" y="1781175"/>
          <a:ext cx="1885084" cy="1238249"/>
          <a:chOff x="590550" y="2066926"/>
          <a:chExt cx="1295400" cy="865724"/>
        </a:xfrm>
      </xdr:grpSpPr>
      <xdr:pic macro="[0]!junho">
        <xdr:nvPicPr>
          <xdr:cNvPr id="21" name="Imagem 20">
            <a:extLst>
              <a:ext uri="{FF2B5EF4-FFF2-40B4-BE49-F238E27FC236}">
                <a16:creationId xmlns:a16="http://schemas.microsoft.com/office/drawing/2014/main" id="{3B99D664-5581-4B31-9A1A-321CF5F35D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0550" y="2066926"/>
            <a:ext cx="981075" cy="865724"/>
          </a:xfrm>
          <a:prstGeom prst="rect">
            <a:avLst/>
          </a:prstGeom>
        </xdr:spPr>
      </xdr:pic>
      <xdr:sp macro="[0]!junho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D2841870-61DB-4342-BAF2-A5B7256B4B0A}"/>
              </a:ext>
            </a:extLst>
          </xdr:cNvPr>
          <xdr:cNvSpPr txBox="1"/>
        </xdr:nvSpPr>
        <xdr:spPr>
          <a:xfrm>
            <a:off x="1047750" y="2390775"/>
            <a:ext cx="8382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>
                <a:solidFill>
                  <a:srgbClr val="EF6E26"/>
                </a:solidFill>
                <a:latin typeface="Gilroy ExtraBold" panose="00000900000000000000" pitchFamily="50" charset="0"/>
              </a:rPr>
              <a:t>JUNHO</a:t>
            </a:r>
          </a:p>
        </xdr:txBody>
      </xdr:sp>
    </xdr:grpSp>
    <xdr:clientData/>
  </xdr:twoCellAnchor>
  <xdr:twoCellAnchor>
    <xdr:from>
      <xdr:col>0</xdr:col>
      <xdr:colOff>266699</xdr:colOff>
      <xdr:row>17</xdr:row>
      <xdr:rowOff>0</xdr:rowOff>
    </xdr:from>
    <xdr:to>
      <xdr:col>3</xdr:col>
      <xdr:colOff>333374</xdr:colOff>
      <xdr:row>23</xdr:row>
      <xdr:rowOff>95249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14C4993E-6599-4ED1-A5F8-4316B48DB1C4}"/>
            </a:ext>
          </a:extLst>
        </xdr:cNvPr>
        <xdr:cNvGrpSpPr/>
      </xdr:nvGrpSpPr>
      <xdr:grpSpPr>
        <a:xfrm>
          <a:off x="266699" y="3238500"/>
          <a:ext cx="1885084" cy="1238249"/>
          <a:chOff x="590550" y="2066926"/>
          <a:chExt cx="1295400" cy="865724"/>
        </a:xfrm>
      </xdr:grpSpPr>
      <xdr:pic macro="[0]!julho">
        <xdr:nvPicPr>
          <xdr:cNvPr id="24" name="Imagem 23">
            <a:extLst>
              <a:ext uri="{FF2B5EF4-FFF2-40B4-BE49-F238E27FC236}">
                <a16:creationId xmlns:a16="http://schemas.microsoft.com/office/drawing/2014/main" id="{6D0D7C33-F61A-446F-8DFC-6C7FA3C08D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0550" y="2066926"/>
            <a:ext cx="981075" cy="865724"/>
          </a:xfrm>
          <a:prstGeom prst="rect">
            <a:avLst/>
          </a:prstGeom>
        </xdr:spPr>
      </xdr:pic>
      <xdr:sp macro="[0]!julho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1DAD24C7-61CD-480D-B0A9-9B6DA2B12650}"/>
              </a:ext>
            </a:extLst>
          </xdr:cNvPr>
          <xdr:cNvSpPr txBox="1"/>
        </xdr:nvSpPr>
        <xdr:spPr>
          <a:xfrm>
            <a:off x="1047750" y="2390775"/>
            <a:ext cx="8382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>
                <a:solidFill>
                  <a:srgbClr val="EF6E26"/>
                </a:solidFill>
                <a:latin typeface="Gilroy ExtraBold" panose="00000900000000000000" pitchFamily="50" charset="0"/>
              </a:rPr>
              <a:t>JULHO</a:t>
            </a:r>
          </a:p>
        </xdr:txBody>
      </xdr:sp>
    </xdr:grpSp>
    <xdr:clientData/>
  </xdr:twoCellAnchor>
  <xdr:twoCellAnchor>
    <xdr:from>
      <xdr:col>3</xdr:col>
      <xdr:colOff>514349</xdr:colOff>
      <xdr:row>16</xdr:row>
      <xdr:rowOff>171450</xdr:rowOff>
    </xdr:from>
    <xdr:to>
      <xdr:col>6</xdr:col>
      <xdr:colOff>581024</xdr:colOff>
      <xdr:row>23</xdr:row>
      <xdr:rowOff>76199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B02646B1-92E1-40AA-B628-7FC54AD10B50}"/>
            </a:ext>
          </a:extLst>
        </xdr:cNvPr>
        <xdr:cNvGrpSpPr/>
      </xdr:nvGrpSpPr>
      <xdr:grpSpPr>
        <a:xfrm>
          <a:off x="2332758" y="3219450"/>
          <a:ext cx="1885084" cy="1238249"/>
          <a:chOff x="590550" y="2066926"/>
          <a:chExt cx="1295400" cy="865724"/>
        </a:xfrm>
      </xdr:grpSpPr>
      <xdr:pic macro="[0]!agosto">
        <xdr:nvPicPr>
          <xdr:cNvPr id="27" name="Imagem 26">
            <a:extLst>
              <a:ext uri="{FF2B5EF4-FFF2-40B4-BE49-F238E27FC236}">
                <a16:creationId xmlns:a16="http://schemas.microsoft.com/office/drawing/2014/main" id="{3B41C9F3-8C8F-4FD4-B54B-47CF2B45B9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0550" y="2066926"/>
            <a:ext cx="981075" cy="865724"/>
          </a:xfrm>
          <a:prstGeom prst="rect">
            <a:avLst/>
          </a:prstGeom>
        </xdr:spPr>
      </xdr:pic>
      <xdr:sp macro="[0]!agosto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0647765B-7CD8-42B0-BE75-4285CE131A16}"/>
              </a:ext>
            </a:extLst>
          </xdr:cNvPr>
          <xdr:cNvSpPr txBox="1"/>
        </xdr:nvSpPr>
        <xdr:spPr>
          <a:xfrm>
            <a:off x="1047750" y="2390775"/>
            <a:ext cx="8382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>
                <a:solidFill>
                  <a:srgbClr val="EF6E26"/>
                </a:solidFill>
                <a:latin typeface="Gilroy ExtraBold" panose="00000900000000000000" pitchFamily="50" charset="0"/>
              </a:rPr>
              <a:t>AGOSTO</a:t>
            </a:r>
          </a:p>
        </xdr:txBody>
      </xdr:sp>
    </xdr:grpSp>
    <xdr:clientData/>
  </xdr:twoCellAnchor>
  <xdr:twoCellAnchor>
    <xdr:from>
      <xdr:col>7</xdr:col>
      <xdr:colOff>104774</xdr:colOff>
      <xdr:row>16</xdr:row>
      <xdr:rowOff>171450</xdr:rowOff>
    </xdr:from>
    <xdr:to>
      <xdr:col>10</xdr:col>
      <xdr:colOff>171449</xdr:colOff>
      <xdr:row>23</xdr:row>
      <xdr:rowOff>76199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564DAF38-A75A-4E09-98F3-C04FE3E662A1}"/>
            </a:ext>
          </a:extLst>
        </xdr:cNvPr>
        <xdr:cNvGrpSpPr/>
      </xdr:nvGrpSpPr>
      <xdr:grpSpPr>
        <a:xfrm>
          <a:off x="4347729" y="3219450"/>
          <a:ext cx="1885084" cy="1238249"/>
          <a:chOff x="590550" y="2066926"/>
          <a:chExt cx="1295400" cy="865724"/>
        </a:xfrm>
      </xdr:grpSpPr>
      <xdr:pic macro="[0]!setembro">
        <xdr:nvPicPr>
          <xdr:cNvPr id="30" name="Imagem 29">
            <a:extLst>
              <a:ext uri="{FF2B5EF4-FFF2-40B4-BE49-F238E27FC236}">
                <a16:creationId xmlns:a16="http://schemas.microsoft.com/office/drawing/2014/main" id="{08C153A9-433D-445C-AC62-AAE0D1E4AF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0550" y="2066926"/>
            <a:ext cx="981075" cy="865724"/>
          </a:xfrm>
          <a:prstGeom prst="rect">
            <a:avLst/>
          </a:prstGeom>
        </xdr:spPr>
      </xdr:pic>
      <xdr:sp macro="[0]!setembro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D6BE1604-30F2-48A9-AC7C-3779A6EA2EDF}"/>
              </a:ext>
            </a:extLst>
          </xdr:cNvPr>
          <xdr:cNvSpPr txBox="1"/>
        </xdr:nvSpPr>
        <xdr:spPr>
          <a:xfrm>
            <a:off x="1047750" y="2390775"/>
            <a:ext cx="8382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>
                <a:solidFill>
                  <a:srgbClr val="EF6E26"/>
                </a:solidFill>
                <a:latin typeface="Gilroy ExtraBold" panose="00000900000000000000" pitchFamily="50" charset="0"/>
              </a:rPr>
              <a:t>SETEMBRO</a:t>
            </a:r>
          </a:p>
        </xdr:txBody>
      </xdr:sp>
    </xdr:grpSp>
    <xdr:clientData/>
  </xdr:twoCellAnchor>
  <xdr:twoCellAnchor>
    <xdr:from>
      <xdr:col>10</xdr:col>
      <xdr:colOff>276224</xdr:colOff>
      <xdr:row>16</xdr:row>
      <xdr:rowOff>180975</xdr:rowOff>
    </xdr:from>
    <xdr:to>
      <xdr:col>13</xdr:col>
      <xdr:colOff>342899</xdr:colOff>
      <xdr:row>23</xdr:row>
      <xdr:rowOff>85724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504DE198-254E-48CD-968F-03AE246ECF26}"/>
            </a:ext>
          </a:extLst>
        </xdr:cNvPr>
        <xdr:cNvGrpSpPr/>
      </xdr:nvGrpSpPr>
      <xdr:grpSpPr>
        <a:xfrm>
          <a:off x="6337588" y="3228975"/>
          <a:ext cx="1885084" cy="1238249"/>
          <a:chOff x="590550" y="2066926"/>
          <a:chExt cx="1295400" cy="865724"/>
        </a:xfrm>
      </xdr:grpSpPr>
      <xdr:pic macro="[0]!outubro">
        <xdr:nvPicPr>
          <xdr:cNvPr id="33" name="Imagem 32">
            <a:extLst>
              <a:ext uri="{FF2B5EF4-FFF2-40B4-BE49-F238E27FC236}">
                <a16:creationId xmlns:a16="http://schemas.microsoft.com/office/drawing/2014/main" id="{EE82820E-022E-493C-9F39-64F9AE8637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0550" y="2066926"/>
            <a:ext cx="981075" cy="865724"/>
          </a:xfrm>
          <a:prstGeom prst="rect">
            <a:avLst/>
          </a:prstGeom>
        </xdr:spPr>
      </xdr:pic>
      <xdr:sp macro="[0]!outubro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6FD93C51-791A-458F-8EE2-2A6A55CFDD57}"/>
              </a:ext>
            </a:extLst>
          </xdr:cNvPr>
          <xdr:cNvSpPr txBox="1"/>
        </xdr:nvSpPr>
        <xdr:spPr>
          <a:xfrm>
            <a:off x="1047750" y="2390775"/>
            <a:ext cx="83820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>
                <a:solidFill>
                  <a:srgbClr val="EF6E26"/>
                </a:solidFill>
                <a:latin typeface="Gilroy ExtraBold" panose="00000900000000000000" pitchFamily="50" charset="0"/>
              </a:rPr>
              <a:t>OUTUBRO</a:t>
            </a:r>
          </a:p>
        </xdr:txBody>
      </xdr:sp>
    </xdr:grpSp>
    <xdr:clientData/>
  </xdr:twoCellAnchor>
  <xdr:twoCellAnchor>
    <xdr:from>
      <xdr:col>13</xdr:col>
      <xdr:colOff>304799</xdr:colOff>
      <xdr:row>16</xdr:row>
      <xdr:rowOff>161925</xdr:rowOff>
    </xdr:from>
    <xdr:to>
      <xdr:col>16</xdr:col>
      <xdr:colOff>504823</xdr:colOff>
      <xdr:row>23</xdr:row>
      <xdr:rowOff>66674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B5E23D96-63E1-4255-9AEF-0DCF73185099}"/>
            </a:ext>
          </a:extLst>
        </xdr:cNvPr>
        <xdr:cNvGrpSpPr/>
      </xdr:nvGrpSpPr>
      <xdr:grpSpPr>
        <a:xfrm>
          <a:off x="8184572" y="3209925"/>
          <a:ext cx="2018433" cy="1238249"/>
          <a:chOff x="590550" y="2066926"/>
          <a:chExt cx="1386533" cy="865724"/>
        </a:xfrm>
      </xdr:grpSpPr>
      <xdr:pic macro="[0]!novembro">
        <xdr:nvPicPr>
          <xdr:cNvPr id="36" name="Imagem 35">
            <a:extLst>
              <a:ext uri="{FF2B5EF4-FFF2-40B4-BE49-F238E27FC236}">
                <a16:creationId xmlns:a16="http://schemas.microsoft.com/office/drawing/2014/main" id="{1DEAEF44-009C-4067-828B-0E711DB037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0550" y="2066926"/>
            <a:ext cx="981075" cy="865724"/>
          </a:xfrm>
          <a:prstGeom prst="rect">
            <a:avLst/>
          </a:prstGeom>
        </xdr:spPr>
      </xdr:pic>
      <xdr:sp macro="[0]!novembro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5429267C-9557-4CA7-85A8-53C7B00484EB}"/>
              </a:ext>
            </a:extLst>
          </xdr:cNvPr>
          <xdr:cNvSpPr txBox="1"/>
        </xdr:nvSpPr>
        <xdr:spPr>
          <a:xfrm>
            <a:off x="1047749" y="2390775"/>
            <a:ext cx="929334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>
                <a:solidFill>
                  <a:srgbClr val="EF6E26"/>
                </a:solidFill>
                <a:latin typeface="Gilroy ExtraBold" panose="00000900000000000000" pitchFamily="50" charset="0"/>
              </a:rPr>
              <a:t>NOVEMBRO</a:t>
            </a:r>
          </a:p>
        </xdr:txBody>
      </xdr:sp>
    </xdr:grpSp>
    <xdr:clientData/>
  </xdr:twoCellAnchor>
  <xdr:twoCellAnchor>
    <xdr:from>
      <xdr:col>16</xdr:col>
      <xdr:colOff>304799</xdr:colOff>
      <xdr:row>16</xdr:row>
      <xdr:rowOff>152400</xdr:rowOff>
    </xdr:from>
    <xdr:to>
      <xdr:col>19</xdr:col>
      <xdr:colOff>389657</xdr:colOff>
      <xdr:row>23</xdr:row>
      <xdr:rowOff>57149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20FAFD11-3C62-4216-899E-3687C310910D}"/>
            </a:ext>
          </a:extLst>
        </xdr:cNvPr>
        <xdr:cNvGrpSpPr/>
      </xdr:nvGrpSpPr>
      <xdr:grpSpPr>
        <a:xfrm>
          <a:off x="10002981" y="3200400"/>
          <a:ext cx="1903267" cy="1238249"/>
          <a:chOff x="590550" y="2066926"/>
          <a:chExt cx="1307895" cy="865724"/>
        </a:xfrm>
      </xdr:grpSpPr>
      <xdr:pic macro="[0]!dezembro">
        <xdr:nvPicPr>
          <xdr:cNvPr id="39" name="Imagem 38">
            <a:extLst>
              <a:ext uri="{FF2B5EF4-FFF2-40B4-BE49-F238E27FC236}">
                <a16:creationId xmlns:a16="http://schemas.microsoft.com/office/drawing/2014/main" id="{57341180-3F6A-45E3-9E76-FDB4AFD834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0550" y="2066926"/>
            <a:ext cx="981075" cy="865724"/>
          </a:xfrm>
          <a:prstGeom prst="rect">
            <a:avLst/>
          </a:prstGeom>
        </xdr:spPr>
      </xdr:pic>
      <xdr:sp macro="[0]!dezembro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27E6FD75-A215-46E1-BF66-C2CE53A3E036}"/>
              </a:ext>
            </a:extLst>
          </xdr:cNvPr>
          <xdr:cNvSpPr txBox="1"/>
        </xdr:nvSpPr>
        <xdr:spPr>
          <a:xfrm>
            <a:off x="1047749" y="2390775"/>
            <a:ext cx="85069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>
                <a:solidFill>
                  <a:srgbClr val="EF6E26"/>
                </a:solidFill>
                <a:latin typeface="Gilroy ExtraBold" panose="00000900000000000000" pitchFamily="50" charset="0"/>
              </a:rPr>
              <a:t>DEZEMBRO</a:t>
            </a:r>
          </a:p>
        </xdr:txBody>
      </xdr:sp>
    </xdr:grpSp>
    <xdr:clientData/>
  </xdr:twoCellAnchor>
  <xdr:twoCellAnchor>
    <xdr:from>
      <xdr:col>7</xdr:col>
      <xdr:colOff>438150</xdr:colOff>
      <xdr:row>25</xdr:row>
      <xdr:rowOff>47625</xdr:rowOff>
    </xdr:from>
    <xdr:to>
      <xdr:col>12</xdr:col>
      <xdr:colOff>438150</xdr:colOff>
      <xdr:row>27</xdr:row>
      <xdr:rowOff>133350</xdr:rowOff>
    </xdr:to>
    <xdr:sp macro="[0]!dem_anual" textlink="">
      <xdr:nvSpPr>
        <xdr:cNvPr id="53" name="Retângulo: Cantos Arredondados 52">
          <a:extLst>
            <a:ext uri="{FF2B5EF4-FFF2-40B4-BE49-F238E27FC236}">
              <a16:creationId xmlns:a16="http://schemas.microsoft.com/office/drawing/2014/main" id="{E02C9584-AC40-4825-9C95-BED2B5D11950}"/>
            </a:ext>
          </a:extLst>
        </xdr:cNvPr>
        <xdr:cNvSpPr/>
      </xdr:nvSpPr>
      <xdr:spPr>
        <a:xfrm>
          <a:off x="4705350" y="4810125"/>
          <a:ext cx="3048000" cy="466725"/>
        </a:xfrm>
        <a:prstGeom prst="roundRect">
          <a:avLst>
            <a:gd name="adj" fmla="val 50000"/>
          </a:avLst>
        </a:prstGeom>
        <a:solidFill>
          <a:srgbClr val="EF6E2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solidFill>
                <a:srgbClr val="6B1E1E"/>
              </a:solidFill>
              <a:latin typeface="Gilroy ExtraBold" panose="00000900000000000000" pitchFamily="50" charset="0"/>
            </a:rPr>
            <a:t>DEMONSTRATIVO</a:t>
          </a:r>
          <a:r>
            <a:rPr lang="pt-BR" sz="1600" baseline="0">
              <a:solidFill>
                <a:srgbClr val="6B1E1E"/>
              </a:solidFill>
              <a:latin typeface="Gilroy ExtraBold" panose="00000900000000000000" pitchFamily="50" charset="0"/>
            </a:rPr>
            <a:t> ANUAL</a:t>
          </a:r>
          <a:endParaRPr lang="pt-BR" sz="1600">
            <a:solidFill>
              <a:srgbClr val="6B1E1E"/>
            </a:solidFill>
            <a:latin typeface="Gilroy ExtraBold" panose="00000900000000000000" pitchFamily="50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381000</xdr:colOff>
      <xdr:row>8</xdr:row>
      <xdr:rowOff>69136</xdr:rowOff>
    </xdr:from>
    <xdr:to>
      <xdr:col>13</xdr:col>
      <xdr:colOff>177084</xdr:colOff>
      <xdr:row>18</xdr:row>
      <xdr:rowOff>172217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953229EF-CD08-424C-BA2A-8BE7FCD48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6575" y="3726736"/>
          <a:ext cx="2939334" cy="2560531"/>
        </a:xfrm>
        <a:prstGeom prst="rect">
          <a:avLst/>
        </a:prstGeom>
      </xdr:spPr>
    </xdr:pic>
    <xdr:clientData/>
  </xdr:twoCellAnchor>
  <xdr:twoCellAnchor editAs="oneCell">
    <xdr:from>
      <xdr:col>1</xdr:col>
      <xdr:colOff>590550</xdr:colOff>
      <xdr:row>0</xdr:row>
      <xdr:rowOff>0</xdr:rowOff>
    </xdr:from>
    <xdr:to>
      <xdr:col>2</xdr:col>
      <xdr:colOff>1123950</xdr:colOff>
      <xdr:row>0</xdr:row>
      <xdr:rowOff>1343025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972FA950-3672-475C-B9AB-07ACE736D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150" y="0"/>
          <a:ext cx="1343025" cy="1343025"/>
        </a:xfrm>
        <a:prstGeom prst="rect">
          <a:avLst/>
        </a:prstGeom>
      </xdr:spPr>
    </xdr:pic>
    <xdr:clientData/>
  </xdr:twoCellAnchor>
  <xdr:twoCellAnchor editAs="oneCell">
    <xdr:from>
      <xdr:col>2</xdr:col>
      <xdr:colOff>933450</xdr:colOff>
      <xdr:row>8</xdr:row>
      <xdr:rowOff>142811</xdr:rowOff>
    </xdr:from>
    <xdr:to>
      <xdr:col>5</xdr:col>
      <xdr:colOff>53152</xdr:colOff>
      <xdr:row>19</xdr:row>
      <xdr:rowOff>94841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78E2252B-C29A-418B-9194-4D5D891CE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2675" y="3800411"/>
          <a:ext cx="2977327" cy="2599980"/>
        </a:xfrm>
        <a:prstGeom prst="rect">
          <a:avLst/>
        </a:prstGeom>
      </xdr:spPr>
    </xdr:pic>
    <xdr:clientData/>
  </xdr:twoCellAnchor>
  <xdr:twoCellAnchor editAs="oneCell">
    <xdr:from>
      <xdr:col>6</xdr:col>
      <xdr:colOff>314325</xdr:colOff>
      <xdr:row>8</xdr:row>
      <xdr:rowOff>128855</xdr:rowOff>
    </xdr:from>
    <xdr:to>
      <xdr:col>9</xdr:col>
      <xdr:colOff>112978</xdr:colOff>
      <xdr:row>19</xdr:row>
      <xdr:rowOff>41436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F34D7756-F1C3-418E-B198-F1C1455E9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3786455"/>
          <a:ext cx="2941903" cy="2560531"/>
        </a:xfrm>
        <a:prstGeom prst="rect">
          <a:avLst/>
        </a:prstGeom>
      </xdr:spPr>
    </xdr:pic>
    <xdr:clientData/>
  </xdr:twoCellAnchor>
  <xdr:oneCellAnchor>
    <xdr:from>
      <xdr:col>14</xdr:col>
      <xdr:colOff>581025</xdr:colOff>
      <xdr:row>0</xdr:row>
      <xdr:rowOff>409575</xdr:rowOff>
    </xdr:from>
    <xdr:ext cx="1463470" cy="506357"/>
    <xdr:sp macro="[0]!MENU" textlink="">
      <xdr:nvSpPr>
        <xdr:cNvPr id="6" name="Retângulo 5">
          <a:extLst>
            <a:ext uri="{FF2B5EF4-FFF2-40B4-BE49-F238E27FC236}">
              <a16:creationId xmlns:a16="http://schemas.microsoft.com/office/drawing/2014/main" id="{DB9BF267-4694-4565-927A-E01E1AEAF859}"/>
            </a:ext>
          </a:extLst>
        </xdr:cNvPr>
        <xdr:cNvSpPr/>
      </xdr:nvSpPr>
      <xdr:spPr>
        <a:xfrm>
          <a:off x="13611225" y="409575"/>
          <a:ext cx="1463470" cy="5063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MENU</a:t>
          </a:r>
        </a:p>
      </xdr:txBody>
    </xdr:sp>
    <xdr:clientData/>
  </xdr:oneCellAnchor>
  <xdr:twoCellAnchor>
    <xdr:from>
      <xdr:col>5</xdr:col>
      <xdr:colOff>123823</xdr:colOff>
      <xdr:row>0</xdr:row>
      <xdr:rowOff>381001</xdr:rowOff>
    </xdr:from>
    <xdr:to>
      <xdr:col>13</xdr:col>
      <xdr:colOff>380999</xdr:colOff>
      <xdr:row>0</xdr:row>
      <xdr:rowOff>952501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2BAB9DB1-2A8D-45C2-847B-D6BB3EC45F80}"/>
            </a:ext>
          </a:extLst>
        </xdr:cNvPr>
        <xdr:cNvSpPr txBox="1"/>
      </xdr:nvSpPr>
      <xdr:spPr>
        <a:xfrm>
          <a:off x="3971923" y="381001"/>
          <a:ext cx="840105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4000" b="1">
              <a:solidFill>
                <a:srgbClr val="EF6E26"/>
              </a:solidFill>
              <a:latin typeface="Gilroy Light" panose="00000400000000000000" pitchFamily="2" charset="0"/>
            </a:rPr>
            <a:t>DEMONSTRATIVO</a:t>
          </a:r>
          <a:r>
            <a:rPr lang="pt-BR" sz="4000" b="1">
              <a:solidFill>
                <a:srgbClr val="C00000"/>
              </a:solidFill>
              <a:latin typeface="Gilroy Light" panose="00000400000000000000" pitchFamily="2" charset="0"/>
            </a:rPr>
            <a:t> </a:t>
          </a:r>
          <a:r>
            <a:rPr lang="pt-BR" sz="4000" b="1">
              <a:solidFill>
                <a:srgbClr val="EF6E26"/>
              </a:solidFill>
              <a:latin typeface="Gilroy Light" panose="00000400000000000000" pitchFamily="2" charset="0"/>
            </a:rPr>
            <a:t>DE RESULTADOS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1454355</xdr:colOff>
      <xdr:row>0</xdr:row>
      <xdr:rowOff>0</xdr:rowOff>
    </xdr:from>
    <xdr:to>
      <xdr:col>1</xdr:col>
      <xdr:colOff>944306</xdr:colOff>
      <xdr:row>0</xdr:row>
      <xdr:rowOff>1350035</xdr:rowOff>
    </xdr:to>
    <xdr:pic macro="[0]!page_up">
      <xdr:nvPicPr>
        <xdr:cNvPr id="2" name="Imagem 1">
          <a:extLst>
            <a:ext uri="{FF2B5EF4-FFF2-40B4-BE49-F238E27FC236}">
              <a16:creationId xmlns:a16="http://schemas.microsoft.com/office/drawing/2014/main" id="{7D8155A8-B5CC-4233-9E1F-66C7BFBBB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4355" y="0"/>
          <a:ext cx="1323257" cy="1350035"/>
        </a:xfrm>
        <a:prstGeom prst="rect">
          <a:avLst/>
        </a:prstGeom>
      </xdr:spPr>
    </xdr:pic>
    <xdr:clientData/>
  </xdr:twoCellAnchor>
  <xdr:twoCellAnchor>
    <xdr:from>
      <xdr:col>6</xdr:col>
      <xdr:colOff>390525</xdr:colOff>
      <xdr:row>11</xdr:row>
      <xdr:rowOff>95250</xdr:rowOff>
    </xdr:from>
    <xdr:to>
      <xdr:col>6</xdr:col>
      <xdr:colOff>809113</xdr:colOff>
      <xdr:row>11</xdr:row>
      <xdr:rowOff>512097</xdr:rowOff>
    </xdr:to>
    <xdr:sp macro="[0]!add_receita" textlink="">
      <xdr:nvSpPr>
        <xdr:cNvPr id="4" name="Sinal de Adição 3">
          <a:extLst>
            <a:ext uri="{FF2B5EF4-FFF2-40B4-BE49-F238E27FC236}">
              <a16:creationId xmlns:a16="http://schemas.microsoft.com/office/drawing/2014/main" id="{7BFD4153-F377-4437-ACD9-8DC0E5CD842B}"/>
            </a:ext>
          </a:extLst>
        </xdr:cNvPr>
        <xdr:cNvSpPr/>
      </xdr:nvSpPr>
      <xdr:spPr>
        <a:xfrm>
          <a:off x="9423912" y="3413637"/>
          <a:ext cx="418588" cy="416847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380999</xdr:colOff>
      <xdr:row>11</xdr:row>
      <xdr:rowOff>123825</xdr:rowOff>
    </xdr:from>
    <xdr:to>
      <xdr:col>13</xdr:col>
      <xdr:colOff>768144</xdr:colOff>
      <xdr:row>11</xdr:row>
      <xdr:rowOff>522339</xdr:rowOff>
    </xdr:to>
    <xdr:sp macro="[0]!add_despesas" textlink="">
      <xdr:nvSpPr>
        <xdr:cNvPr id="5" name="Sinal de Adição 4">
          <a:extLst>
            <a:ext uri="{FF2B5EF4-FFF2-40B4-BE49-F238E27FC236}">
              <a16:creationId xmlns:a16="http://schemas.microsoft.com/office/drawing/2014/main" id="{3DAF2B16-78A0-4797-BEBD-D5158566418E}"/>
            </a:ext>
          </a:extLst>
        </xdr:cNvPr>
        <xdr:cNvSpPr/>
      </xdr:nvSpPr>
      <xdr:spPr>
        <a:xfrm>
          <a:off x="18550193" y="3442212"/>
          <a:ext cx="387145" cy="398514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953039</xdr:colOff>
      <xdr:row>0</xdr:row>
      <xdr:rowOff>493061</xdr:rowOff>
    </xdr:from>
    <xdr:to>
      <xdr:col>13</xdr:col>
      <xdr:colOff>499321</xdr:colOff>
      <xdr:row>0</xdr:row>
      <xdr:rowOff>939405</xdr:rowOff>
    </xdr:to>
    <xdr:sp macro="[0]!next_mes" textlink="">
      <xdr:nvSpPr>
        <xdr:cNvPr id="3" name="Seta: para a Direita 2">
          <a:extLst>
            <a:ext uri="{FF2B5EF4-FFF2-40B4-BE49-F238E27FC236}">
              <a16:creationId xmlns:a16="http://schemas.microsoft.com/office/drawing/2014/main" id="{DF93EF25-7D86-4A34-A72B-81032C86EFAC}"/>
            </a:ext>
          </a:extLst>
        </xdr:cNvPr>
        <xdr:cNvSpPr/>
      </xdr:nvSpPr>
      <xdr:spPr>
        <a:xfrm>
          <a:off x="18016396" y="493061"/>
          <a:ext cx="553211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11</xdr:col>
      <xdr:colOff>769272</xdr:colOff>
      <xdr:row>0</xdr:row>
      <xdr:rowOff>471437</xdr:rowOff>
    </xdr:from>
    <xdr:ext cx="1463470" cy="506357"/>
    <xdr:sp macro="[0]!MENU" textlink="">
      <xdr:nvSpPr>
        <xdr:cNvPr id="9" name="Retângulo 8">
          <a:extLst>
            <a:ext uri="{FF2B5EF4-FFF2-40B4-BE49-F238E27FC236}">
              <a16:creationId xmlns:a16="http://schemas.microsoft.com/office/drawing/2014/main" id="{C7E8AE6B-4CE4-4D0E-9D6A-9335D2609701}"/>
            </a:ext>
          </a:extLst>
        </xdr:cNvPr>
        <xdr:cNvSpPr/>
      </xdr:nvSpPr>
      <xdr:spPr>
        <a:xfrm>
          <a:off x="16203869" y="471437"/>
          <a:ext cx="1463470" cy="5063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MENU</a:t>
          </a:r>
        </a:p>
      </xdr:txBody>
    </xdr:sp>
    <xdr:clientData/>
  </xdr:oneCellAnchor>
  <xdr:oneCellAnchor>
    <xdr:from>
      <xdr:col>3</xdr:col>
      <xdr:colOff>845920</xdr:colOff>
      <xdr:row>0</xdr:row>
      <xdr:rowOff>334206</xdr:rowOff>
    </xdr:from>
    <xdr:ext cx="7194469" cy="757708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03D9B51-62E8-4A87-BE73-84349E3D7E00}"/>
            </a:ext>
          </a:extLst>
        </xdr:cNvPr>
        <xdr:cNvSpPr/>
      </xdr:nvSpPr>
      <xdr:spPr>
        <a:xfrm>
          <a:off x="5506001" y="334206"/>
          <a:ext cx="7194469" cy="75770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500" b="0" cap="none" spc="0">
              <a:ln w="0"/>
              <a:solidFill>
                <a:srgbClr val="EF6E2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FLUXO DE CAIXA - JUNHO</a:t>
          </a:r>
        </a:p>
      </xdr:txBody>
    </xdr:sp>
    <xdr:clientData/>
  </xdr:oneCellAnchor>
  <xdr:twoCellAnchor>
    <xdr:from>
      <xdr:col>11</xdr:col>
      <xdr:colOff>272143</xdr:colOff>
      <xdr:row>0</xdr:row>
      <xdr:rowOff>503464</xdr:rowOff>
    </xdr:from>
    <xdr:to>
      <xdr:col>11</xdr:col>
      <xdr:colOff>825354</xdr:colOff>
      <xdr:row>0</xdr:row>
      <xdr:rowOff>949808</xdr:rowOff>
    </xdr:to>
    <xdr:sp macro="" textlink="">
      <xdr:nvSpPr>
        <xdr:cNvPr id="8" name="Seta: para a Direita 7">
          <a:extLst>
            <a:ext uri="{FF2B5EF4-FFF2-40B4-BE49-F238E27FC236}">
              <a16:creationId xmlns:a16="http://schemas.microsoft.com/office/drawing/2014/main" id="{380E87DB-40F1-48B0-90A9-AEDB3342BBA9}"/>
            </a:ext>
          </a:extLst>
        </xdr:cNvPr>
        <xdr:cNvSpPr/>
      </xdr:nvSpPr>
      <xdr:spPr>
        <a:xfrm rot="10800000">
          <a:off x="16124464" y="503464"/>
          <a:ext cx="553211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980254</xdr:colOff>
      <xdr:row>0</xdr:row>
      <xdr:rowOff>506668</xdr:rowOff>
    </xdr:from>
    <xdr:to>
      <xdr:col>13</xdr:col>
      <xdr:colOff>526536</xdr:colOff>
      <xdr:row>0</xdr:row>
      <xdr:rowOff>953012</xdr:rowOff>
    </xdr:to>
    <xdr:sp macro="[0]!next_mes" textlink="">
      <xdr:nvSpPr>
        <xdr:cNvPr id="5" name="Seta: para a Direita 4">
          <a:extLst>
            <a:ext uri="{FF2B5EF4-FFF2-40B4-BE49-F238E27FC236}">
              <a16:creationId xmlns:a16="http://schemas.microsoft.com/office/drawing/2014/main" id="{9EBE3175-EB60-4E27-99B6-19F4BE384BA7}"/>
            </a:ext>
          </a:extLst>
        </xdr:cNvPr>
        <xdr:cNvSpPr/>
      </xdr:nvSpPr>
      <xdr:spPr>
        <a:xfrm>
          <a:off x="17677579" y="506668"/>
          <a:ext cx="546407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152707</xdr:colOff>
      <xdr:row>0</xdr:row>
      <xdr:rowOff>495709</xdr:rowOff>
    </xdr:from>
    <xdr:to>
      <xdr:col>11</xdr:col>
      <xdr:colOff>821506</xdr:colOff>
      <xdr:row>0</xdr:row>
      <xdr:rowOff>942053</xdr:rowOff>
    </xdr:to>
    <xdr:sp macro="[0]!back_mes" textlink="">
      <xdr:nvSpPr>
        <xdr:cNvPr id="6" name="Seta: para a Direita 5">
          <a:extLst>
            <a:ext uri="{FF2B5EF4-FFF2-40B4-BE49-F238E27FC236}">
              <a16:creationId xmlns:a16="http://schemas.microsoft.com/office/drawing/2014/main" id="{DC575593-D2D2-434B-890F-F81C96A04CBF}"/>
            </a:ext>
          </a:extLst>
        </xdr:cNvPr>
        <xdr:cNvSpPr/>
      </xdr:nvSpPr>
      <xdr:spPr>
        <a:xfrm rot="10800000">
          <a:off x="15640357" y="495709"/>
          <a:ext cx="668799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11</xdr:col>
      <xdr:colOff>769272</xdr:colOff>
      <xdr:row>0</xdr:row>
      <xdr:rowOff>471437</xdr:rowOff>
    </xdr:from>
    <xdr:ext cx="1463470" cy="506357"/>
    <xdr:sp macro="[0]!MENU" textlink="">
      <xdr:nvSpPr>
        <xdr:cNvPr id="7" name="Retângulo 6">
          <a:extLst>
            <a:ext uri="{FF2B5EF4-FFF2-40B4-BE49-F238E27FC236}">
              <a16:creationId xmlns:a16="http://schemas.microsoft.com/office/drawing/2014/main" id="{49E9427E-E4A2-4E61-8837-A56D008263B0}"/>
            </a:ext>
          </a:extLst>
        </xdr:cNvPr>
        <xdr:cNvSpPr/>
      </xdr:nvSpPr>
      <xdr:spPr>
        <a:xfrm>
          <a:off x="16256922" y="471437"/>
          <a:ext cx="1463470" cy="5063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MENU</a:t>
          </a:r>
        </a:p>
      </xdr:txBody>
    </xdr:sp>
    <xdr:clientData/>
  </xdr:oneCellAnchor>
  <xdr:oneCellAnchor>
    <xdr:from>
      <xdr:col>3</xdr:col>
      <xdr:colOff>901896</xdr:colOff>
      <xdr:row>0</xdr:row>
      <xdr:rowOff>334206</xdr:rowOff>
    </xdr:from>
    <xdr:ext cx="7082516" cy="757708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DB22D61-25A7-436E-B45E-315212C4312F}"/>
            </a:ext>
          </a:extLst>
        </xdr:cNvPr>
        <xdr:cNvSpPr/>
      </xdr:nvSpPr>
      <xdr:spPr>
        <a:xfrm>
          <a:off x="5558563" y="334206"/>
          <a:ext cx="7082516" cy="75770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500" b="0" cap="none" spc="0">
              <a:ln w="0"/>
              <a:solidFill>
                <a:srgbClr val="EF6E2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FLUXO DE CAIXA - JULHO</a:t>
          </a:r>
        </a:p>
      </xdr:txBody>
    </xdr:sp>
    <xdr:clientData/>
  </xdr:oneCellAnchor>
  <xdr:twoCellAnchor editAs="oneCell">
    <xdr:from>
      <xdr:col>0</xdr:col>
      <xdr:colOff>1333500</xdr:colOff>
      <xdr:row>0</xdr:row>
      <xdr:rowOff>0</xdr:rowOff>
    </xdr:from>
    <xdr:to>
      <xdr:col>1</xdr:col>
      <xdr:colOff>825840</xdr:colOff>
      <xdr:row>0</xdr:row>
      <xdr:rowOff>1350035</xdr:rowOff>
    </xdr:to>
    <xdr:pic macro="[0]!page_up">
      <xdr:nvPicPr>
        <xdr:cNvPr id="9" name="Imagem 8">
          <a:extLst>
            <a:ext uri="{FF2B5EF4-FFF2-40B4-BE49-F238E27FC236}">
              <a16:creationId xmlns:a16="http://schemas.microsoft.com/office/drawing/2014/main" id="{9AA1CE00-0E93-485C-A459-E63920DC1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" y="0"/>
          <a:ext cx="1323257" cy="1350035"/>
        </a:xfrm>
        <a:prstGeom prst="rect">
          <a:avLst/>
        </a:prstGeom>
      </xdr:spPr>
    </xdr:pic>
    <xdr:clientData/>
  </xdr:twoCellAnchor>
  <xdr:twoCellAnchor>
    <xdr:from>
      <xdr:col>6</xdr:col>
      <xdr:colOff>211667</xdr:colOff>
      <xdr:row>11</xdr:row>
      <xdr:rowOff>84667</xdr:rowOff>
    </xdr:from>
    <xdr:to>
      <xdr:col>6</xdr:col>
      <xdr:colOff>630255</xdr:colOff>
      <xdr:row>11</xdr:row>
      <xdr:rowOff>501514</xdr:rowOff>
    </xdr:to>
    <xdr:sp macro="[0]!add_receita" textlink="">
      <xdr:nvSpPr>
        <xdr:cNvPr id="10" name="Sinal de Adição 9">
          <a:extLst>
            <a:ext uri="{FF2B5EF4-FFF2-40B4-BE49-F238E27FC236}">
              <a16:creationId xmlns:a16="http://schemas.microsoft.com/office/drawing/2014/main" id="{CA7C4141-9D67-48EF-A643-E9C260D73210}"/>
            </a:ext>
          </a:extLst>
        </xdr:cNvPr>
        <xdr:cNvSpPr/>
      </xdr:nvSpPr>
      <xdr:spPr>
        <a:xfrm>
          <a:off x="9239250" y="3365500"/>
          <a:ext cx="418588" cy="416847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13</xdr:col>
      <xdr:colOff>342455</xdr:colOff>
      <xdr:row>11</xdr:row>
      <xdr:rowOff>113242</xdr:rowOff>
    </xdr:from>
    <xdr:to>
      <xdr:col>13</xdr:col>
      <xdr:colOff>729600</xdr:colOff>
      <xdr:row>11</xdr:row>
      <xdr:rowOff>511756</xdr:rowOff>
    </xdr:to>
    <xdr:sp macro="[0]!add_despesas" textlink="">
      <xdr:nvSpPr>
        <xdr:cNvPr id="11" name="Sinal de Adição 10">
          <a:extLst>
            <a:ext uri="{FF2B5EF4-FFF2-40B4-BE49-F238E27FC236}">
              <a16:creationId xmlns:a16="http://schemas.microsoft.com/office/drawing/2014/main" id="{8FA7360A-0EBF-400C-AC21-23C5F266C69A}"/>
            </a:ext>
          </a:extLst>
        </xdr:cNvPr>
        <xdr:cNvSpPr/>
      </xdr:nvSpPr>
      <xdr:spPr>
        <a:xfrm>
          <a:off x="18037788" y="3394075"/>
          <a:ext cx="387145" cy="398514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980254</xdr:colOff>
      <xdr:row>0</xdr:row>
      <xdr:rowOff>506668</xdr:rowOff>
    </xdr:from>
    <xdr:to>
      <xdr:col>13</xdr:col>
      <xdr:colOff>526536</xdr:colOff>
      <xdr:row>0</xdr:row>
      <xdr:rowOff>953012</xdr:rowOff>
    </xdr:to>
    <xdr:sp macro="[0]!next_mes" textlink="">
      <xdr:nvSpPr>
        <xdr:cNvPr id="4" name="Seta: para a Direita 3">
          <a:extLst>
            <a:ext uri="{FF2B5EF4-FFF2-40B4-BE49-F238E27FC236}">
              <a16:creationId xmlns:a16="http://schemas.microsoft.com/office/drawing/2014/main" id="{04EEBE01-7634-4AE5-B3E4-FF92F15187E2}"/>
            </a:ext>
          </a:extLst>
        </xdr:cNvPr>
        <xdr:cNvSpPr/>
      </xdr:nvSpPr>
      <xdr:spPr>
        <a:xfrm>
          <a:off x="17677579" y="506668"/>
          <a:ext cx="546407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152707</xdr:colOff>
      <xdr:row>0</xdr:row>
      <xdr:rowOff>495709</xdr:rowOff>
    </xdr:from>
    <xdr:to>
      <xdr:col>11</xdr:col>
      <xdr:colOff>821506</xdr:colOff>
      <xdr:row>0</xdr:row>
      <xdr:rowOff>942053</xdr:rowOff>
    </xdr:to>
    <xdr:sp macro="[0]!back_mes" textlink="">
      <xdr:nvSpPr>
        <xdr:cNvPr id="5" name="Seta: para a Direita 4">
          <a:extLst>
            <a:ext uri="{FF2B5EF4-FFF2-40B4-BE49-F238E27FC236}">
              <a16:creationId xmlns:a16="http://schemas.microsoft.com/office/drawing/2014/main" id="{A160226B-68C7-447E-B2AE-8515057E194B}"/>
            </a:ext>
          </a:extLst>
        </xdr:cNvPr>
        <xdr:cNvSpPr/>
      </xdr:nvSpPr>
      <xdr:spPr>
        <a:xfrm rot="10800000">
          <a:off x="15640357" y="495709"/>
          <a:ext cx="668799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11</xdr:col>
      <xdr:colOff>769272</xdr:colOff>
      <xdr:row>0</xdr:row>
      <xdr:rowOff>471437</xdr:rowOff>
    </xdr:from>
    <xdr:ext cx="1463470" cy="506357"/>
    <xdr:sp macro="[0]!MENU" textlink="">
      <xdr:nvSpPr>
        <xdr:cNvPr id="6" name="Retângulo 5">
          <a:extLst>
            <a:ext uri="{FF2B5EF4-FFF2-40B4-BE49-F238E27FC236}">
              <a16:creationId xmlns:a16="http://schemas.microsoft.com/office/drawing/2014/main" id="{F6B19EA1-6E2D-4722-B2BC-822C4330604A}"/>
            </a:ext>
          </a:extLst>
        </xdr:cNvPr>
        <xdr:cNvSpPr/>
      </xdr:nvSpPr>
      <xdr:spPr>
        <a:xfrm>
          <a:off x="16256922" y="471437"/>
          <a:ext cx="1463470" cy="5063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MENU</a:t>
          </a:r>
        </a:p>
      </xdr:txBody>
    </xdr:sp>
    <xdr:clientData/>
  </xdr:oneCellAnchor>
  <xdr:oneCellAnchor>
    <xdr:from>
      <xdr:col>3</xdr:col>
      <xdr:colOff>625474</xdr:colOff>
      <xdr:row>0</xdr:row>
      <xdr:rowOff>334206</xdr:rowOff>
    </xdr:from>
    <xdr:ext cx="7635360" cy="757708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E0A99D34-513E-4DB0-B204-6F72E3376407}"/>
            </a:ext>
          </a:extLst>
        </xdr:cNvPr>
        <xdr:cNvSpPr/>
      </xdr:nvSpPr>
      <xdr:spPr>
        <a:xfrm>
          <a:off x="5283199" y="334206"/>
          <a:ext cx="7635360" cy="75770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500" b="0" cap="none" spc="0">
              <a:ln w="0"/>
              <a:solidFill>
                <a:srgbClr val="EF6E2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FLUXO DE CAIXA - AGOSTO</a:t>
          </a:r>
        </a:p>
      </xdr:txBody>
    </xdr:sp>
    <xdr:clientData/>
  </xdr:oneCellAnchor>
  <xdr:twoCellAnchor editAs="oneCell">
    <xdr:from>
      <xdr:col>0</xdr:col>
      <xdr:colOff>1123950</xdr:colOff>
      <xdr:row>0</xdr:row>
      <xdr:rowOff>0</xdr:rowOff>
    </xdr:from>
    <xdr:to>
      <xdr:col>1</xdr:col>
      <xdr:colOff>618407</xdr:colOff>
      <xdr:row>0</xdr:row>
      <xdr:rowOff>1350035</xdr:rowOff>
    </xdr:to>
    <xdr:pic macro="[0]!page_up">
      <xdr:nvPicPr>
        <xdr:cNvPr id="8" name="Imagem 7">
          <a:extLst>
            <a:ext uri="{FF2B5EF4-FFF2-40B4-BE49-F238E27FC236}">
              <a16:creationId xmlns:a16="http://schemas.microsoft.com/office/drawing/2014/main" id="{FFE46E40-2416-4246-837F-993B97EE5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50" y="0"/>
          <a:ext cx="1323257" cy="1350035"/>
        </a:xfrm>
        <a:prstGeom prst="rect">
          <a:avLst/>
        </a:prstGeom>
      </xdr:spPr>
    </xdr:pic>
    <xdr:clientData/>
  </xdr:twoCellAnchor>
  <xdr:twoCellAnchor>
    <xdr:from>
      <xdr:col>6</xdr:col>
      <xdr:colOff>296334</xdr:colOff>
      <xdr:row>11</xdr:row>
      <xdr:rowOff>52917</xdr:rowOff>
    </xdr:from>
    <xdr:to>
      <xdr:col>6</xdr:col>
      <xdr:colOff>714922</xdr:colOff>
      <xdr:row>11</xdr:row>
      <xdr:rowOff>469764</xdr:rowOff>
    </xdr:to>
    <xdr:sp macro="[0]!add_receita" textlink="">
      <xdr:nvSpPr>
        <xdr:cNvPr id="9" name="Sinal de Adição 8">
          <a:extLst>
            <a:ext uri="{FF2B5EF4-FFF2-40B4-BE49-F238E27FC236}">
              <a16:creationId xmlns:a16="http://schemas.microsoft.com/office/drawing/2014/main" id="{EC70F0C9-7912-4299-B110-B5371DD4335D}"/>
            </a:ext>
          </a:extLst>
        </xdr:cNvPr>
        <xdr:cNvSpPr/>
      </xdr:nvSpPr>
      <xdr:spPr>
        <a:xfrm>
          <a:off x="9323917" y="3333750"/>
          <a:ext cx="418588" cy="416847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13</xdr:col>
      <xdr:colOff>427122</xdr:colOff>
      <xdr:row>11</xdr:row>
      <xdr:rowOff>81492</xdr:rowOff>
    </xdr:from>
    <xdr:to>
      <xdr:col>13</xdr:col>
      <xdr:colOff>814267</xdr:colOff>
      <xdr:row>11</xdr:row>
      <xdr:rowOff>480006</xdr:rowOff>
    </xdr:to>
    <xdr:sp macro="[0]!add_despesas" textlink="">
      <xdr:nvSpPr>
        <xdr:cNvPr id="10" name="Sinal de Adição 9">
          <a:extLst>
            <a:ext uri="{FF2B5EF4-FFF2-40B4-BE49-F238E27FC236}">
              <a16:creationId xmlns:a16="http://schemas.microsoft.com/office/drawing/2014/main" id="{CBD1E6AB-B5B1-4902-83E8-C0F0C3942A1C}"/>
            </a:ext>
          </a:extLst>
        </xdr:cNvPr>
        <xdr:cNvSpPr/>
      </xdr:nvSpPr>
      <xdr:spPr>
        <a:xfrm>
          <a:off x="18122455" y="3362325"/>
          <a:ext cx="387145" cy="398514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980254</xdr:colOff>
      <xdr:row>0</xdr:row>
      <xdr:rowOff>506668</xdr:rowOff>
    </xdr:from>
    <xdr:to>
      <xdr:col>13</xdr:col>
      <xdr:colOff>526536</xdr:colOff>
      <xdr:row>0</xdr:row>
      <xdr:rowOff>953012</xdr:rowOff>
    </xdr:to>
    <xdr:sp macro="[0]!next_mes" textlink="">
      <xdr:nvSpPr>
        <xdr:cNvPr id="4" name="Seta: para a Direita 3">
          <a:extLst>
            <a:ext uri="{FF2B5EF4-FFF2-40B4-BE49-F238E27FC236}">
              <a16:creationId xmlns:a16="http://schemas.microsoft.com/office/drawing/2014/main" id="{18B56452-BF2E-425F-A56C-1A8A3B3DDC8B}"/>
            </a:ext>
          </a:extLst>
        </xdr:cNvPr>
        <xdr:cNvSpPr/>
      </xdr:nvSpPr>
      <xdr:spPr>
        <a:xfrm>
          <a:off x="17677579" y="506668"/>
          <a:ext cx="546407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152707</xdr:colOff>
      <xdr:row>0</xdr:row>
      <xdr:rowOff>495709</xdr:rowOff>
    </xdr:from>
    <xdr:to>
      <xdr:col>11</xdr:col>
      <xdr:colOff>821506</xdr:colOff>
      <xdr:row>0</xdr:row>
      <xdr:rowOff>942053</xdr:rowOff>
    </xdr:to>
    <xdr:sp macro="[0]!back_mes" textlink="">
      <xdr:nvSpPr>
        <xdr:cNvPr id="5" name="Seta: para a Direita 4">
          <a:extLst>
            <a:ext uri="{FF2B5EF4-FFF2-40B4-BE49-F238E27FC236}">
              <a16:creationId xmlns:a16="http://schemas.microsoft.com/office/drawing/2014/main" id="{0D1BA212-96BF-4152-9C22-2B26B4C74BC3}"/>
            </a:ext>
          </a:extLst>
        </xdr:cNvPr>
        <xdr:cNvSpPr/>
      </xdr:nvSpPr>
      <xdr:spPr>
        <a:xfrm rot="10800000">
          <a:off x="15640357" y="495709"/>
          <a:ext cx="668799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11</xdr:col>
      <xdr:colOff>769272</xdr:colOff>
      <xdr:row>0</xdr:row>
      <xdr:rowOff>471437</xdr:rowOff>
    </xdr:from>
    <xdr:ext cx="1463470" cy="506357"/>
    <xdr:sp macro="[0]!MENU" textlink="">
      <xdr:nvSpPr>
        <xdr:cNvPr id="6" name="Retângulo 5">
          <a:extLst>
            <a:ext uri="{FF2B5EF4-FFF2-40B4-BE49-F238E27FC236}">
              <a16:creationId xmlns:a16="http://schemas.microsoft.com/office/drawing/2014/main" id="{B5B417C2-10AF-47AA-9E1C-30BBF06760AC}"/>
            </a:ext>
          </a:extLst>
        </xdr:cNvPr>
        <xdr:cNvSpPr/>
      </xdr:nvSpPr>
      <xdr:spPr>
        <a:xfrm>
          <a:off x="16256922" y="471437"/>
          <a:ext cx="1463470" cy="5063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MENU</a:t>
          </a:r>
        </a:p>
      </xdr:txBody>
    </xdr:sp>
    <xdr:clientData/>
  </xdr:oneCellAnchor>
  <xdr:oneCellAnchor>
    <xdr:from>
      <xdr:col>3</xdr:col>
      <xdr:colOff>375889</xdr:colOff>
      <xdr:row>0</xdr:row>
      <xdr:rowOff>334206</xdr:rowOff>
    </xdr:from>
    <xdr:ext cx="8134535" cy="757708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17B950F-17E8-4A68-9813-C5A6F02A4A2F}"/>
            </a:ext>
          </a:extLst>
        </xdr:cNvPr>
        <xdr:cNvSpPr/>
      </xdr:nvSpPr>
      <xdr:spPr>
        <a:xfrm>
          <a:off x="5033614" y="334206"/>
          <a:ext cx="8134535" cy="75770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500" b="0" cap="none" spc="0">
              <a:ln w="0"/>
              <a:solidFill>
                <a:srgbClr val="EF6E2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FLUXO DE CAIXA - SETEMBRO</a:t>
          </a:r>
        </a:p>
      </xdr:txBody>
    </xdr:sp>
    <xdr:clientData/>
  </xdr:oneCellAnchor>
  <xdr:twoCellAnchor editAs="oneCell">
    <xdr:from>
      <xdr:col>0</xdr:col>
      <xdr:colOff>1066800</xdr:colOff>
      <xdr:row>0</xdr:row>
      <xdr:rowOff>0</xdr:rowOff>
    </xdr:from>
    <xdr:to>
      <xdr:col>1</xdr:col>
      <xdr:colOff>561257</xdr:colOff>
      <xdr:row>0</xdr:row>
      <xdr:rowOff>1350035</xdr:rowOff>
    </xdr:to>
    <xdr:pic macro="[0]!page_up">
      <xdr:nvPicPr>
        <xdr:cNvPr id="8" name="Imagem 7">
          <a:extLst>
            <a:ext uri="{FF2B5EF4-FFF2-40B4-BE49-F238E27FC236}">
              <a16:creationId xmlns:a16="http://schemas.microsoft.com/office/drawing/2014/main" id="{CD327EBA-D6AA-4582-B311-66DC4E47B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0"/>
          <a:ext cx="1323257" cy="1350035"/>
        </a:xfrm>
        <a:prstGeom prst="rect">
          <a:avLst/>
        </a:prstGeom>
      </xdr:spPr>
    </xdr:pic>
    <xdr:clientData/>
  </xdr:twoCellAnchor>
  <xdr:twoCellAnchor>
    <xdr:from>
      <xdr:col>6</xdr:col>
      <xdr:colOff>226218</xdr:colOff>
      <xdr:row>11</xdr:row>
      <xdr:rowOff>83344</xdr:rowOff>
    </xdr:from>
    <xdr:to>
      <xdr:col>6</xdr:col>
      <xdr:colOff>644806</xdr:colOff>
      <xdr:row>11</xdr:row>
      <xdr:rowOff>500191</xdr:rowOff>
    </xdr:to>
    <xdr:sp macro="[0]!add_receita" textlink="">
      <xdr:nvSpPr>
        <xdr:cNvPr id="9" name="Sinal de Adição 8">
          <a:extLst>
            <a:ext uri="{FF2B5EF4-FFF2-40B4-BE49-F238E27FC236}">
              <a16:creationId xmlns:a16="http://schemas.microsoft.com/office/drawing/2014/main" id="{610D91BE-2CDC-48BE-A769-8583FB049B05}"/>
            </a:ext>
          </a:extLst>
        </xdr:cNvPr>
        <xdr:cNvSpPr/>
      </xdr:nvSpPr>
      <xdr:spPr>
        <a:xfrm>
          <a:off x="9263062" y="3357563"/>
          <a:ext cx="418588" cy="416847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13</xdr:col>
      <xdr:colOff>357006</xdr:colOff>
      <xdr:row>11</xdr:row>
      <xdr:rowOff>111919</xdr:rowOff>
    </xdr:from>
    <xdr:to>
      <xdr:col>13</xdr:col>
      <xdr:colOff>744151</xdr:colOff>
      <xdr:row>11</xdr:row>
      <xdr:rowOff>510433</xdr:rowOff>
    </xdr:to>
    <xdr:sp macro="[0]!add_despesas" textlink="">
      <xdr:nvSpPr>
        <xdr:cNvPr id="10" name="Sinal de Adição 9">
          <a:extLst>
            <a:ext uri="{FF2B5EF4-FFF2-40B4-BE49-F238E27FC236}">
              <a16:creationId xmlns:a16="http://schemas.microsoft.com/office/drawing/2014/main" id="{6145039D-1EAE-44F0-8D89-49F1B0C3B1EC}"/>
            </a:ext>
          </a:extLst>
        </xdr:cNvPr>
        <xdr:cNvSpPr/>
      </xdr:nvSpPr>
      <xdr:spPr>
        <a:xfrm>
          <a:off x="18061600" y="3386138"/>
          <a:ext cx="387145" cy="398514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980254</xdr:colOff>
      <xdr:row>0</xdr:row>
      <xdr:rowOff>506668</xdr:rowOff>
    </xdr:from>
    <xdr:to>
      <xdr:col>13</xdr:col>
      <xdr:colOff>526536</xdr:colOff>
      <xdr:row>0</xdr:row>
      <xdr:rowOff>953012</xdr:rowOff>
    </xdr:to>
    <xdr:sp macro="[0]!next_mes" textlink="">
      <xdr:nvSpPr>
        <xdr:cNvPr id="4" name="Seta: para a Direita 3">
          <a:extLst>
            <a:ext uri="{FF2B5EF4-FFF2-40B4-BE49-F238E27FC236}">
              <a16:creationId xmlns:a16="http://schemas.microsoft.com/office/drawing/2014/main" id="{965818A3-E7C6-43F2-BCF7-752B9EC013E0}"/>
            </a:ext>
          </a:extLst>
        </xdr:cNvPr>
        <xdr:cNvSpPr/>
      </xdr:nvSpPr>
      <xdr:spPr>
        <a:xfrm>
          <a:off x="17677579" y="506668"/>
          <a:ext cx="546407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152707</xdr:colOff>
      <xdr:row>0</xdr:row>
      <xdr:rowOff>495709</xdr:rowOff>
    </xdr:from>
    <xdr:to>
      <xdr:col>11</xdr:col>
      <xdr:colOff>821506</xdr:colOff>
      <xdr:row>0</xdr:row>
      <xdr:rowOff>942053</xdr:rowOff>
    </xdr:to>
    <xdr:sp macro="[0]!back_mes" textlink="">
      <xdr:nvSpPr>
        <xdr:cNvPr id="5" name="Seta: para a Direita 4">
          <a:extLst>
            <a:ext uri="{FF2B5EF4-FFF2-40B4-BE49-F238E27FC236}">
              <a16:creationId xmlns:a16="http://schemas.microsoft.com/office/drawing/2014/main" id="{ED2871E4-259F-4C68-8389-AEEEDF59AA4F}"/>
            </a:ext>
          </a:extLst>
        </xdr:cNvPr>
        <xdr:cNvSpPr/>
      </xdr:nvSpPr>
      <xdr:spPr>
        <a:xfrm rot="10800000">
          <a:off x="15640357" y="495709"/>
          <a:ext cx="668799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11</xdr:col>
      <xdr:colOff>769272</xdr:colOff>
      <xdr:row>0</xdr:row>
      <xdr:rowOff>471437</xdr:rowOff>
    </xdr:from>
    <xdr:ext cx="1463470" cy="506357"/>
    <xdr:sp macro="[0]!MENU" textlink="">
      <xdr:nvSpPr>
        <xdr:cNvPr id="6" name="Retângulo 5">
          <a:extLst>
            <a:ext uri="{FF2B5EF4-FFF2-40B4-BE49-F238E27FC236}">
              <a16:creationId xmlns:a16="http://schemas.microsoft.com/office/drawing/2014/main" id="{F8BB77E4-D436-4CB4-8DC7-27290C38D8A7}"/>
            </a:ext>
          </a:extLst>
        </xdr:cNvPr>
        <xdr:cNvSpPr/>
      </xdr:nvSpPr>
      <xdr:spPr>
        <a:xfrm>
          <a:off x="16256922" y="471437"/>
          <a:ext cx="1463470" cy="5063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MENU</a:t>
          </a:r>
        </a:p>
      </xdr:txBody>
    </xdr:sp>
    <xdr:clientData/>
  </xdr:oneCellAnchor>
  <xdr:oneCellAnchor>
    <xdr:from>
      <xdr:col>3</xdr:col>
      <xdr:colOff>461582</xdr:colOff>
      <xdr:row>0</xdr:row>
      <xdr:rowOff>334206</xdr:rowOff>
    </xdr:from>
    <xdr:ext cx="7963142" cy="757708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BD2FF471-509C-49B4-8797-B87DD6A451BD}"/>
            </a:ext>
          </a:extLst>
        </xdr:cNvPr>
        <xdr:cNvSpPr/>
      </xdr:nvSpPr>
      <xdr:spPr>
        <a:xfrm>
          <a:off x="5119307" y="334206"/>
          <a:ext cx="7963142" cy="75770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500" b="0" cap="none" spc="0">
              <a:ln w="0"/>
              <a:solidFill>
                <a:srgbClr val="EF6E2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FLUXO DE CAIXA - OUTUBRO</a:t>
          </a:r>
        </a:p>
      </xdr:txBody>
    </xdr:sp>
    <xdr:clientData/>
  </xdr:oneCellAnchor>
  <xdr:twoCellAnchor editAs="oneCell">
    <xdr:from>
      <xdr:col>0</xdr:col>
      <xdr:colOff>1162050</xdr:colOff>
      <xdr:row>0</xdr:row>
      <xdr:rowOff>0</xdr:rowOff>
    </xdr:from>
    <xdr:to>
      <xdr:col>1</xdr:col>
      <xdr:colOff>656507</xdr:colOff>
      <xdr:row>0</xdr:row>
      <xdr:rowOff>1350035</xdr:rowOff>
    </xdr:to>
    <xdr:pic macro="[0]!page_up">
      <xdr:nvPicPr>
        <xdr:cNvPr id="8" name="Imagem 7">
          <a:extLst>
            <a:ext uri="{FF2B5EF4-FFF2-40B4-BE49-F238E27FC236}">
              <a16:creationId xmlns:a16="http://schemas.microsoft.com/office/drawing/2014/main" id="{8F965DC3-7655-4618-AC79-48151F534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0"/>
          <a:ext cx="1323257" cy="1350035"/>
        </a:xfrm>
        <a:prstGeom prst="rect">
          <a:avLst/>
        </a:prstGeom>
      </xdr:spPr>
    </xdr:pic>
    <xdr:clientData/>
  </xdr:twoCellAnchor>
  <xdr:twoCellAnchor>
    <xdr:from>
      <xdr:col>6</xdr:col>
      <xdr:colOff>232833</xdr:colOff>
      <xdr:row>11</xdr:row>
      <xdr:rowOff>63500</xdr:rowOff>
    </xdr:from>
    <xdr:to>
      <xdr:col>6</xdr:col>
      <xdr:colOff>651421</xdr:colOff>
      <xdr:row>11</xdr:row>
      <xdr:rowOff>480347</xdr:rowOff>
    </xdr:to>
    <xdr:sp macro="[0]!add_receita" textlink="">
      <xdr:nvSpPr>
        <xdr:cNvPr id="9" name="Sinal de Adição 8">
          <a:extLst>
            <a:ext uri="{FF2B5EF4-FFF2-40B4-BE49-F238E27FC236}">
              <a16:creationId xmlns:a16="http://schemas.microsoft.com/office/drawing/2014/main" id="{347D0EE8-9365-4F60-8FA9-28684D2C224D}"/>
            </a:ext>
          </a:extLst>
        </xdr:cNvPr>
        <xdr:cNvSpPr/>
      </xdr:nvSpPr>
      <xdr:spPr>
        <a:xfrm>
          <a:off x="9260416" y="3344333"/>
          <a:ext cx="418588" cy="416847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13</xdr:col>
      <xdr:colOff>363621</xdr:colOff>
      <xdr:row>11</xdr:row>
      <xdr:rowOff>92075</xdr:rowOff>
    </xdr:from>
    <xdr:to>
      <xdr:col>13</xdr:col>
      <xdr:colOff>750766</xdr:colOff>
      <xdr:row>11</xdr:row>
      <xdr:rowOff>490589</xdr:rowOff>
    </xdr:to>
    <xdr:sp macro="[0]!add_despesas" textlink="">
      <xdr:nvSpPr>
        <xdr:cNvPr id="10" name="Sinal de Adição 9">
          <a:extLst>
            <a:ext uri="{FF2B5EF4-FFF2-40B4-BE49-F238E27FC236}">
              <a16:creationId xmlns:a16="http://schemas.microsoft.com/office/drawing/2014/main" id="{1CE91C17-00C2-4A3E-9995-267671C86F9B}"/>
            </a:ext>
          </a:extLst>
        </xdr:cNvPr>
        <xdr:cNvSpPr/>
      </xdr:nvSpPr>
      <xdr:spPr>
        <a:xfrm>
          <a:off x="18058954" y="3372908"/>
          <a:ext cx="387145" cy="398514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980254</xdr:colOff>
      <xdr:row>0</xdr:row>
      <xdr:rowOff>506668</xdr:rowOff>
    </xdr:from>
    <xdr:to>
      <xdr:col>13</xdr:col>
      <xdr:colOff>526536</xdr:colOff>
      <xdr:row>0</xdr:row>
      <xdr:rowOff>953012</xdr:rowOff>
    </xdr:to>
    <xdr:sp macro="[0]!next_mes" textlink="">
      <xdr:nvSpPr>
        <xdr:cNvPr id="4" name="Seta: para a Direita 3">
          <a:extLst>
            <a:ext uri="{FF2B5EF4-FFF2-40B4-BE49-F238E27FC236}">
              <a16:creationId xmlns:a16="http://schemas.microsoft.com/office/drawing/2014/main" id="{C4F082B3-67C0-455C-9EB5-52787C1865D5}"/>
            </a:ext>
          </a:extLst>
        </xdr:cNvPr>
        <xdr:cNvSpPr/>
      </xdr:nvSpPr>
      <xdr:spPr>
        <a:xfrm>
          <a:off x="17677579" y="506668"/>
          <a:ext cx="546407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152707</xdr:colOff>
      <xdr:row>0</xdr:row>
      <xdr:rowOff>495709</xdr:rowOff>
    </xdr:from>
    <xdr:to>
      <xdr:col>11</xdr:col>
      <xdr:colOff>821506</xdr:colOff>
      <xdr:row>0</xdr:row>
      <xdr:rowOff>942053</xdr:rowOff>
    </xdr:to>
    <xdr:sp macro="[0]!back_mes" textlink="">
      <xdr:nvSpPr>
        <xdr:cNvPr id="5" name="Seta: para a Direita 4">
          <a:extLst>
            <a:ext uri="{FF2B5EF4-FFF2-40B4-BE49-F238E27FC236}">
              <a16:creationId xmlns:a16="http://schemas.microsoft.com/office/drawing/2014/main" id="{38444D97-FE91-4CBB-BBD8-1F1E93DEEBC4}"/>
            </a:ext>
          </a:extLst>
        </xdr:cNvPr>
        <xdr:cNvSpPr/>
      </xdr:nvSpPr>
      <xdr:spPr>
        <a:xfrm rot="10800000">
          <a:off x="15640357" y="495709"/>
          <a:ext cx="668799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11</xdr:col>
      <xdr:colOff>769272</xdr:colOff>
      <xdr:row>0</xdr:row>
      <xdr:rowOff>471437</xdr:rowOff>
    </xdr:from>
    <xdr:ext cx="1463470" cy="506357"/>
    <xdr:sp macro="[0]!MENU" textlink="">
      <xdr:nvSpPr>
        <xdr:cNvPr id="6" name="Retângulo 5">
          <a:extLst>
            <a:ext uri="{FF2B5EF4-FFF2-40B4-BE49-F238E27FC236}">
              <a16:creationId xmlns:a16="http://schemas.microsoft.com/office/drawing/2014/main" id="{DE8FE74A-C476-4CE0-9DD4-927412D7AD3E}"/>
            </a:ext>
          </a:extLst>
        </xdr:cNvPr>
        <xdr:cNvSpPr/>
      </xdr:nvSpPr>
      <xdr:spPr>
        <a:xfrm>
          <a:off x="16256922" y="471437"/>
          <a:ext cx="1463470" cy="5063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MENU</a:t>
          </a:r>
        </a:p>
      </xdr:txBody>
    </xdr:sp>
    <xdr:clientData/>
  </xdr:oneCellAnchor>
  <xdr:oneCellAnchor>
    <xdr:from>
      <xdr:col>3</xdr:col>
      <xdr:colOff>242871</xdr:colOff>
      <xdr:row>0</xdr:row>
      <xdr:rowOff>334206</xdr:rowOff>
    </xdr:from>
    <xdr:ext cx="8400569" cy="757708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CEA54CB-0086-448A-92A7-D3EBC02B13A0}"/>
            </a:ext>
          </a:extLst>
        </xdr:cNvPr>
        <xdr:cNvSpPr/>
      </xdr:nvSpPr>
      <xdr:spPr>
        <a:xfrm>
          <a:off x="4900596" y="334206"/>
          <a:ext cx="8400569" cy="75770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500" b="0" cap="none" spc="0">
              <a:ln w="0"/>
              <a:solidFill>
                <a:srgbClr val="EF6E2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FLUXO DE CAIXA - NOVEMBRO</a:t>
          </a:r>
        </a:p>
      </xdr:txBody>
    </xdr:sp>
    <xdr:clientData/>
  </xdr:oneCellAnchor>
  <xdr:twoCellAnchor editAs="oneCell">
    <xdr:from>
      <xdr:col>0</xdr:col>
      <xdr:colOff>1057275</xdr:colOff>
      <xdr:row>0</xdr:row>
      <xdr:rowOff>0</xdr:rowOff>
    </xdr:from>
    <xdr:to>
      <xdr:col>1</xdr:col>
      <xdr:colOff>551732</xdr:colOff>
      <xdr:row>0</xdr:row>
      <xdr:rowOff>1350035</xdr:rowOff>
    </xdr:to>
    <xdr:pic macro="[0]!page_up">
      <xdr:nvPicPr>
        <xdr:cNvPr id="8" name="Imagem 7">
          <a:extLst>
            <a:ext uri="{FF2B5EF4-FFF2-40B4-BE49-F238E27FC236}">
              <a16:creationId xmlns:a16="http://schemas.microsoft.com/office/drawing/2014/main" id="{CB922E69-80DB-4D7F-8B67-B03DE65A5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275" y="0"/>
          <a:ext cx="1323257" cy="1350035"/>
        </a:xfrm>
        <a:prstGeom prst="rect">
          <a:avLst/>
        </a:prstGeom>
      </xdr:spPr>
    </xdr:pic>
    <xdr:clientData/>
  </xdr:twoCellAnchor>
  <xdr:twoCellAnchor>
    <xdr:from>
      <xdr:col>6</xdr:col>
      <xdr:colOff>447675</xdr:colOff>
      <xdr:row>11</xdr:row>
      <xdr:rowOff>66675</xdr:rowOff>
    </xdr:from>
    <xdr:to>
      <xdr:col>6</xdr:col>
      <xdr:colOff>866263</xdr:colOff>
      <xdr:row>11</xdr:row>
      <xdr:rowOff>483522</xdr:rowOff>
    </xdr:to>
    <xdr:sp macro="[0]!add_receita" textlink="">
      <xdr:nvSpPr>
        <xdr:cNvPr id="11" name="Sinal de Adição 10">
          <a:extLst>
            <a:ext uri="{FF2B5EF4-FFF2-40B4-BE49-F238E27FC236}">
              <a16:creationId xmlns:a16="http://schemas.microsoft.com/office/drawing/2014/main" id="{73A76791-ACC2-48D4-A37C-DB65F899AFBC}"/>
            </a:ext>
          </a:extLst>
        </xdr:cNvPr>
        <xdr:cNvSpPr/>
      </xdr:nvSpPr>
      <xdr:spPr>
        <a:xfrm>
          <a:off x="9477375" y="3343275"/>
          <a:ext cx="418588" cy="416847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13</xdr:col>
      <xdr:colOff>387963</xdr:colOff>
      <xdr:row>11</xdr:row>
      <xdr:rowOff>104775</xdr:rowOff>
    </xdr:from>
    <xdr:to>
      <xdr:col>13</xdr:col>
      <xdr:colOff>775108</xdr:colOff>
      <xdr:row>11</xdr:row>
      <xdr:rowOff>503289</xdr:rowOff>
    </xdr:to>
    <xdr:sp macro="[0]!add_despesas" textlink="">
      <xdr:nvSpPr>
        <xdr:cNvPr id="12" name="Sinal de Adição 11">
          <a:extLst>
            <a:ext uri="{FF2B5EF4-FFF2-40B4-BE49-F238E27FC236}">
              <a16:creationId xmlns:a16="http://schemas.microsoft.com/office/drawing/2014/main" id="{15D2BDA3-BE6B-48EB-9A42-0B4136DB9B4B}"/>
            </a:ext>
          </a:extLst>
        </xdr:cNvPr>
        <xdr:cNvSpPr/>
      </xdr:nvSpPr>
      <xdr:spPr>
        <a:xfrm>
          <a:off x="18085413" y="3381375"/>
          <a:ext cx="387145" cy="398514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980254</xdr:colOff>
      <xdr:row>0</xdr:row>
      <xdr:rowOff>506668</xdr:rowOff>
    </xdr:from>
    <xdr:to>
      <xdr:col>13</xdr:col>
      <xdr:colOff>526536</xdr:colOff>
      <xdr:row>0</xdr:row>
      <xdr:rowOff>953012</xdr:rowOff>
    </xdr:to>
    <xdr:sp macro="[0]!next_mes" textlink="">
      <xdr:nvSpPr>
        <xdr:cNvPr id="4" name="Seta: para a Direita 3">
          <a:extLst>
            <a:ext uri="{FF2B5EF4-FFF2-40B4-BE49-F238E27FC236}">
              <a16:creationId xmlns:a16="http://schemas.microsoft.com/office/drawing/2014/main" id="{F813F15C-52A1-4D52-B4B6-BCAEF8EAE176}"/>
            </a:ext>
          </a:extLst>
        </xdr:cNvPr>
        <xdr:cNvSpPr/>
      </xdr:nvSpPr>
      <xdr:spPr>
        <a:xfrm>
          <a:off x="17677579" y="506668"/>
          <a:ext cx="546407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152707</xdr:colOff>
      <xdr:row>0</xdr:row>
      <xdr:rowOff>495709</xdr:rowOff>
    </xdr:from>
    <xdr:to>
      <xdr:col>11</xdr:col>
      <xdr:colOff>821506</xdr:colOff>
      <xdr:row>0</xdr:row>
      <xdr:rowOff>942053</xdr:rowOff>
    </xdr:to>
    <xdr:sp macro="[0]!back_mes" textlink="">
      <xdr:nvSpPr>
        <xdr:cNvPr id="5" name="Seta: para a Direita 4">
          <a:extLst>
            <a:ext uri="{FF2B5EF4-FFF2-40B4-BE49-F238E27FC236}">
              <a16:creationId xmlns:a16="http://schemas.microsoft.com/office/drawing/2014/main" id="{CC5A36E6-E19B-4069-85ED-C10E052CC8D2}"/>
            </a:ext>
          </a:extLst>
        </xdr:cNvPr>
        <xdr:cNvSpPr/>
      </xdr:nvSpPr>
      <xdr:spPr>
        <a:xfrm rot="10800000">
          <a:off x="15640357" y="495709"/>
          <a:ext cx="668799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11</xdr:col>
      <xdr:colOff>769272</xdr:colOff>
      <xdr:row>0</xdr:row>
      <xdr:rowOff>471437</xdr:rowOff>
    </xdr:from>
    <xdr:ext cx="1463470" cy="506357"/>
    <xdr:sp macro="[0]!MENU" textlink="">
      <xdr:nvSpPr>
        <xdr:cNvPr id="6" name="Retângulo 5">
          <a:extLst>
            <a:ext uri="{FF2B5EF4-FFF2-40B4-BE49-F238E27FC236}">
              <a16:creationId xmlns:a16="http://schemas.microsoft.com/office/drawing/2014/main" id="{19C61646-B674-49C9-A69A-7942C53E3870}"/>
            </a:ext>
          </a:extLst>
        </xdr:cNvPr>
        <xdr:cNvSpPr/>
      </xdr:nvSpPr>
      <xdr:spPr>
        <a:xfrm>
          <a:off x="16256922" y="471437"/>
          <a:ext cx="1463470" cy="5063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MENU</a:t>
          </a:r>
        </a:p>
      </xdr:txBody>
    </xdr:sp>
    <xdr:clientData/>
  </xdr:oneCellAnchor>
  <xdr:oneCellAnchor>
    <xdr:from>
      <xdr:col>3</xdr:col>
      <xdr:colOff>336647</xdr:colOff>
      <xdr:row>0</xdr:row>
      <xdr:rowOff>334206</xdr:rowOff>
    </xdr:from>
    <xdr:ext cx="8213018" cy="757708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36F23FE4-6E2D-4298-9199-138FB67EFB8A}"/>
            </a:ext>
          </a:extLst>
        </xdr:cNvPr>
        <xdr:cNvSpPr/>
      </xdr:nvSpPr>
      <xdr:spPr>
        <a:xfrm>
          <a:off x="4994372" y="334206"/>
          <a:ext cx="8213018" cy="75770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500" b="0" cap="none" spc="0">
              <a:ln w="0"/>
              <a:solidFill>
                <a:srgbClr val="EF6E2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FLUXO DE CAIXA - DEZEMBRO</a:t>
          </a:r>
        </a:p>
      </xdr:txBody>
    </xdr:sp>
    <xdr:clientData/>
  </xdr:oneCellAnchor>
  <xdr:twoCellAnchor editAs="oneCell">
    <xdr:from>
      <xdr:col>0</xdr:col>
      <xdr:colOff>1076325</xdr:colOff>
      <xdr:row>0</xdr:row>
      <xdr:rowOff>19050</xdr:rowOff>
    </xdr:from>
    <xdr:to>
      <xdr:col>1</xdr:col>
      <xdr:colOff>570782</xdr:colOff>
      <xdr:row>0</xdr:row>
      <xdr:rowOff>1369085</xdr:rowOff>
    </xdr:to>
    <xdr:pic macro="[0]!page_up">
      <xdr:nvPicPr>
        <xdr:cNvPr id="8" name="Imagem 7">
          <a:extLst>
            <a:ext uri="{FF2B5EF4-FFF2-40B4-BE49-F238E27FC236}">
              <a16:creationId xmlns:a16="http://schemas.microsoft.com/office/drawing/2014/main" id="{3B85CA59-B1B5-4504-8568-892B758E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6325" y="19050"/>
          <a:ext cx="1323257" cy="1350035"/>
        </a:xfrm>
        <a:prstGeom prst="rect">
          <a:avLst/>
        </a:prstGeom>
      </xdr:spPr>
    </xdr:pic>
    <xdr:clientData/>
  </xdr:twoCellAnchor>
  <xdr:twoCellAnchor>
    <xdr:from>
      <xdr:col>6</xdr:col>
      <xdr:colOff>317500</xdr:colOff>
      <xdr:row>11</xdr:row>
      <xdr:rowOff>84667</xdr:rowOff>
    </xdr:from>
    <xdr:to>
      <xdr:col>6</xdr:col>
      <xdr:colOff>736088</xdr:colOff>
      <xdr:row>11</xdr:row>
      <xdr:rowOff>501514</xdr:rowOff>
    </xdr:to>
    <xdr:sp macro="[0]!add_receita" textlink="">
      <xdr:nvSpPr>
        <xdr:cNvPr id="9" name="Sinal de Adição 8">
          <a:extLst>
            <a:ext uri="{FF2B5EF4-FFF2-40B4-BE49-F238E27FC236}">
              <a16:creationId xmlns:a16="http://schemas.microsoft.com/office/drawing/2014/main" id="{327A1E89-3832-4A1B-A2C7-602635EAAF7B}"/>
            </a:ext>
          </a:extLst>
        </xdr:cNvPr>
        <xdr:cNvSpPr/>
      </xdr:nvSpPr>
      <xdr:spPr>
        <a:xfrm>
          <a:off x="9345083" y="3365500"/>
          <a:ext cx="418588" cy="416847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13</xdr:col>
      <xdr:colOff>448288</xdr:colOff>
      <xdr:row>11</xdr:row>
      <xdr:rowOff>113242</xdr:rowOff>
    </xdr:from>
    <xdr:to>
      <xdr:col>13</xdr:col>
      <xdr:colOff>835433</xdr:colOff>
      <xdr:row>11</xdr:row>
      <xdr:rowOff>511756</xdr:rowOff>
    </xdr:to>
    <xdr:sp macro="[0]!add_despesas" textlink="">
      <xdr:nvSpPr>
        <xdr:cNvPr id="10" name="Sinal de Adição 9">
          <a:extLst>
            <a:ext uri="{FF2B5EF4-FFF2-40B4-BE49-F238E27FC236}">
              <a16:creationId xmlns:a16="http://schemas.microsoft.com/office/drawing/2014/main" id="{93BDB9D9-111A-465A-8CF6-D8FAD0B04869}"/>
            </a:ext>
          </a:extLst>
        </xdr:cNvPr>
        <xdr:cNvSpPr/>
      </xdr:nvSpPr>
      <xdr:spPr>
        <a:xfrm>
          <a:off x="18143621" y="3394075"/>
          <a:ext cx="387145" cy="398514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980254</xdr:colOff>
      <xdr:row>0</xdr:row>
      <xdr:rowOff>506668</xdr:rowOff>
    </xdr:from>
    <xdr:to>
      <xdr:col>13</xdr:col>
      <xdr:colOff>526536</xdr:colOff>
      <xdr:row>0</xdr:row>
      <xdr:rowOff>953012</xdr:rowOff>
    </xdr:to>
    <xdr:sp macro="[0]!next_mes" textlink="">
      <xdr:nvSpPr>
        <xdr:cNvPr id="4" name="Seta: para a Direita 3">
          <a:extLst>
            <a:ext uri="{FF2B5EF4-FFF2-40B4-BE49-F238E27FC236}">
              <a16:creationId xmlns:a16="http://schemas.microsoft.com/office/drawing/2014/main" id="{58D39875-AAD9-4BE7-8E75-819EABE5C031}"/>
            </a:ext>
          </a:extLst>
        </xdr:cNvPr>
        <xdr:cNvSpPr/>
      </xdr:nvSpPr>
      <xdr:spPr>
        <a:xfrm>
          <a:off x="17677579" y="506668"/>
          <a:ext cx="546407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152707</xdr:colOff>
      <xdr:row>0</xdr:row>
      <xdr:rowOff>495709</xdr:rowOff>
    </xdr:from>
    <xdr:to>
      <xdr:col>11</xdr:col>
      <xdr:colOff>821506</xdr:colOff>
      <xdr:row>0</xdr:row>
      <xdr:rowOff>942053</xdr:rowOff>
    </xdr:to>
    <xdr:sp macro="[0]!back_mes" textlink="">
      <xdr:nvSpPr>
        <xdr:cNvPr id="5" name="Seta: para a Direita 4">
          <a:extLst>
            <a:ext uri="{FF2B5EF4-FFF2-40B4-BE49-F238E27FC236}">
              <a16:creationId xmlns:a16="http://schemas.microsoft.com/office/drawing/2014/main" id="{1B88E379-407E-4C88-89DC-5EC46611E9A3}"/>
            </a:ext>
          </a:extLst>
        </xdr:cNvPr>
        <xdr:cNvSpPr/>
      </xdr:nvSpPr>
      <xdr:spPr>
        <a:xfrm rot="10800000">
          <a:off x="15640357" y="495709"/>
          <a:ext cx="668799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11</xdr:col>
      <xdr:colOff>769272</xdr:colOff>
      <xdr:row>0</xdr:row>
      <xdr:rowOff>471437</xdr:rowOff>
    </xdr:from>
    <xdr:ext cx="1463470" cy="506357"/>
    <xdr:sp macro="[0]!MENU" textlink="">
      <xdr:nvSpPr>
        <xdr:cNvPr id="6" name="Retângulo 5">
          <a:extLst>
            <a:ext uri="{FF2B5EF4-FFF2-40B4-BE49-F238E27FC236}">
              <a16:creationId xmlns:a16="http://schemas.microsoft.com/office/drawing/2014/main" id="{6424EC6E-F1D0-4BD0-BA93-B33CA929E625}"/>
            </a:ext>
          </a:extLst>
        </xdr:cNvPr>
        <xdr:cNvSpPr/>
      </xdr:nvSpPr>
      <xdr:spPr>
        <a:xfrm>
          <a:off x="16256922" y="471437"/>
          <a:ext cx="1463470" cy="5063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MENU</a:t>
          </a:r>
        </a:p>
      </xdr:txBody>
    </xdr:sp>
    <xdr:clientData/>
  </xdr:oneCellAnchor>
  <xdr:oneCellAnchor>
    <xdr:from>
      <xdr:col>3</xdr:col>
      <xdr:colOff>658946</xdr:colOff>
      <xdr:row>0</xdr:row>
      <xdr:rowOff>334206</xdr:rowOff>
    </xdr:from>
    <xdr:ext cx="7568419" cy="757708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5C84160-01CC-402C-9D4E-3E5EBA609D4C}"/>
            </a:ext>
          </a:extLst>
        </xdr:cNvPr>
        <xdr:cNvSpPr/>
      </xdr:nvSpPr>
      <xdr:spPr>
        <a:xfrm>
          <a:off x="5316671" y="334206"/>
          <a:ext cx="7568419" cy="75770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500" b="0" cap="none" spc="0">
              <a:ln w="0"/>
              <a:solidFill>
                <a:srgbClr val="EF6E2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FLUXO DE CAIXA - JANEIRO</a:t>
          </a:r>
        </a:p>
      </xdr:txBody>
    </xdr:sp>
    <xdr:clientData/>
  </xdr:oneCellAnchor>
  <xdr:twoCellAnchor editAs="oneCell">
    <xdr:from>
      <xdr:col>0</xdr:col>
      <xdr:colOff>952500</xdr:colOff>
      <xdr:row>0</xdr:row>
      <xdr:rowOff>0</xdr:rowOff>
    </xdr:from>
    <xdr:to>
      <xdr:col>1</xdr:col>
      <xdr:colOff>446957</xdr:colOff>
      <xdr:row>0</xdr:row>
      <xdr:rowOff>1350035</xdr:rowOff>
    </xdr:to>
    <xdr:pic macro="[0]!page_up">
      <xdr:nvPicPr>
        <xdr:cNvPr id="8" name="Imagem 7">
          <a:extLst>
            <a:ext uri="{FF2B5EF4-FFF2-40B4-BE49-F238E27FC236}">
              <a16:creationId xmlns:a16="http://schemas.microsoft.com/office/drawing/2014/main" id="{E6DEDAF7-2FF2-4302-B7CE-47C0ABB13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0"/>
          <a:ext cx="1323257" cy="1350035"/>
        </a:xfrm>
        <a:prstGeom prst="rect">
          <a:avLst/>
        </a:prstGeom>
      </xdr:spPr>
    </xdr:pic>
    <xdr:clientData/>
  </xdr:twoCellAnchor>
  <xdr:twoCellAnchor>
    <xdr:from>
      <xdr:col>6</xdr:col>
      <xdr:colOff>328084</xdr:colOff>
      <xdr:row>11</xdr:row>
      <xdr:rowOff>74084</xdr:rowOff>
    </xdr:from>
    <xdr:to>
      <xdr:col>6</xdr:col>
      <xdr:colOff>746672</xdr:colOff>
      <xdr:row>11</xdr:row>
      <xdr:rowOff>490931</xdr:rowOff>
    </xdr:to>
    <xdr:sp macro="[0]!add_receita" textlink="">
      <xdr:nvSpPr>
        <xdr:cNvPr id="9" name="Sinal de Adição 8">
          <a:extLst>
            <a:ext uri="{FF2B5EF4-FFF2-40B4-BE49-F238E27FC236}">
              <a16:creationId xmlns:a16="http://schemas.microsoft.com/office/drawing/2014/main" id="{1526DCFD-4929-46DC-99BC-A6071E30A2D1}"/>
            </a:ext>
          </a:extLst>
        </xdr:cNvPr>
        <xdr:cNvSpPr/>
      </xdr:nvSpPr>
      <xdr:spPr>
        <a:xfrm>
          <a:off x="9355667" y="3354917"/>
          <a:ext cx="418588" cy="416847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13</xdr:col>
      <xdr:colOff>458872</xdr:colOff>
      <xdr:row>11</xdr:row>
      <xdr:rowOff>102659</xdr:rowOff>
    </xdr:from>
    <xdr:to>
      <xdr:col>13</xdr:col>
      <xdr:colOff>846017</xdr:colOff>
      <xdr:row>11</xdr:row>
      <xdr:rowOff>501173</xdr:rowOff>
    </xdr:to>
    <xdr:sp macro="[0]!add_despesas" textlink="">
      <xdr:nvSpPr>
        <xdr:cNvPr id="10" name="Sinal de Adição 9">
          <a:extLst>
            <a:ext uri="{FF2B5EF4-FFF2-40B4-BE49-F238E27FC236}">
              <a16:creationId xmlns:a16="http://schemas.microsoft.com/office/drawing/2014/main" id="{48B1684A-6983-40FF-9D52-B78491B9A926}"/>
            </a:ext>
          </a:extLst>
        </xdr:cNvPr>
        <xdr:cNvSpPr/>
      </xdr:nvSpPr>
      <xdr:spPr>
        <a:xfrm>
          <a:off x="18154205" y="3383492"/>
          <a:ext cx="387145" cy="398514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980254</xdr:colOff>
      <xdr:row>0</xdr:row>
      <xdr:rowOff>506668</xdr:rowOff>
    </xdr:from>
    <xdr:to>
      <xdr:col>13</xdr:col>
      <xdr:colOff>526536</xdr:colOff>
      <xdr:row>0</xdr:row>
      <xdr:rowOff>953012</xdr:rowOff>
    </xdr:to>
    <xdr:sp macro="[0]!next_mes" textlink="">
      <xdr:nvSpPr>
        <xdr:cNvPr id="4" name="Seta: para a Direita 3">
          <a:extLst>
            <a:ext uri="{FF2B5EF4-FFF2-40B4-BE49-F238E27FC236}">
              <a16:creationId xmlns:a16="http://schemas.microsoft.com/office/drawing/2014/main" id="{AD2AF9BB-06E1-467F-B8AC-98B79A3B7B75}"/>
            </a:ext>
          </a:extLst>
        </xdr:cNvPr>
        <xdr:cNvSpPr/>
      </xdr:nvSpPr>
      <xdr:spPr>
        <a:xfrm>
          <a:off x="17677579" y="506668"/>
          <a:ext cx="546407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152707</xdr:colOff>
      <xdr:row>0</xdr:row>
      <xdr:rowOff>495709</xdr:rowOff>
    </xdr:from>
    <xdr:to>
      <xdr:col>11</xdr:col>
      <xdr:colOff>821506</xdr:colOff>
      <xdr:row>0</xdr:row>
      <xdr:rowOff>942053</xdr:rowOff>
    </xdr:to>
    <xdr:sp macro="[0]!back_mes" textlink="">
      <xdr:nvSpPr>
        <xdr:cNvPr id="5" name="Seta: para a Direita 4">
          <a:extLst>
            <a:ext uri="{FF2B5EF4-FFF2-40B4-BE49-F238E27FC236}">
              <a16:creationId xmlns:a16="http://schemas.microsoft.com/office/drawing/2014/main" id="{EF87D050-CAFB-41E1-8D58-47A392085EF9}"/>
            </a:ext>
          </a:extLst>
        </xdr:cNvPr>
        <xdr:cNvSpPr/>
      </xdr:nvSpPr>
      <xdr:spPr>
        <a:xfrm rot="10800000">
          <a:off x="15640357" y="495709"/>
          <a:ext cx="668799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11</xdr:col>
      <xdr:colOff>769272</xdr:colOff>
      <xdr:row>0</xdr:row>
      <xdr:rowOff>471437</xdr:rowOff>
    </xdr:from>
    <xdr:ext cx="1463470" cy="506357"/>
    <xdr:sp macro="[0]!MENU" textlink="">
      <xdr:nvSpPr>
        <xdr:cNvPr id="6" name="Retângulo 5">
          <a:extLst>
            <a:ext uri="{FF2B5EF4-FFF2-40B4-BE49-F238E27FC236}">
              <a16:creationId xmlns:a16="http://schemas.microsoft.com/office/drawing/2014/main" id="{EE647DF2-127E-4E4F-A714-01A6F3731693}"/>
            </a:ext>
          </a:extLst>
        </xdr:cNvPr>
        <xdr:cNvSpPr/>
      </xdr:nvSpPr>
      <xdr:spPr>
        <a:xfrm>
          <a:off x="16256922" y="471437"/>
          <a:ext cx="1463470" cy="5063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MENU</a:t>
          </a:r>
        </a:p>
      </xdr:txBody>
    </xdr:sp>
    <xdr:clientData/>
  </xdr:oneCellAnchor>
  <xdr:oneCellAnchor>
    <xdr:from>
      <xdr:col>3</xdr:col>
      <xdr:colOff>389738</xdr:colOff>
      <xdr:row>0</xdr:row>
      <xdr:rowOff>334206</xdr:rowOff>
    </xdr:from>
    <xdr:ext cx="8106835" cy="757708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B05E7D1-32C5-4AEA-8014-358C71A5767E}"/>
            </a:ext>
          </a:extLst>
        </xdr:cNvPr>
        <xdr:cNvSpPr/>
      </xdr:nvSpPr>
      <xdr:spPr>
        <a:xfrm>
          <a:off x="5047463" y="334206"/>
          <a:ext cx="8106835" cy="75770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500" b="0" cap="none" spc="0">
              <a:ln w="0"/>
              <a:solidFill>
                <a:srgbClr val="EF6E2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FLUXO DE CAIXA - FEVEREIRO</a:t>
          </a:r>
        </a:p>
      </xdr:txBody>
    </xdr:sp>
    <xdr:clientData/>
  </xdr:oneCellAnchor>
  <xdr:twoCellAnchor editAs="oneCell">
    <xdr:from>
      <xdr:col>0</xdr:col>
      <xdr:colOff>981075</xdr:colOff>
      <xdr:row>0</xdr:row>
      <xdr:rowOff>0</xdr:rowOff>
    </xdr:from>
    <xdr:to>
      <xdr:col>1</xdr:col>
      <xdr:colOff>475532</xdr:colOff>
      <xdr:row>0</xdr:row>
      <xdr:rowOff>1350035</xdr:rowOff>
    </xdr:to>
    <xdr:pic macro="[0]!page_up">
      <xdr:nvPicPr>
        <xdr:cNvPr id="8" name="Imagem 7">
          <a:extLst>
            <a:ext uri="{FF2B5EF4-FFF2-40B4-BE49-F238E27FC236}">
              <a16:creationId xmlns:a16="http://schemas.microsoft.com/office/drawing/2014/main" id="{E818E829-5DF0-4773-AFA9-C7BAEE5EC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0"/>
          <a:ext cx="1323257" cy="1350035"/>
        </a:xfrm>
        <a:prstGeom prst="rect">
          <a:avLst/>
        </a:prstGeom>
      </xdr:spPr>
    </xdr:pic>
    <xdr:clientData/>
  </xdr:twoCellAnchor>
  <xdr:twoCellAnchor>
    <xdr:from>
      <xdr:col>6</xdr:col>
      <xdr:colOff>359834</xdr:colOff>
      <xdr:row>11</xdr:row>
      <xdr:rowOff>74083</xdr:rowOff>
    </xdr:from>
    <xdr:to>
      <xdr:col>6</xdr:col>
      <xdr:colOff>778422</xdr:colOff>
      <xdr:row>11</xdr:row>
      <xdr:rowOff>490930</xdr:rowOff>
    </xdr:to>
    <xdr:sp macro="[0]!add_receita" textlink="">
      <xdr:nvSpPr>
        <xdr:cNvPr id="9" name="Sinal de Adição 8">
          <a:extLst>
            <a:ext uri="{FF2B5EF4-FFF2-40B4-BE49-F238E27FC236}">
              <a16:creationId xmlns:a16="http://schemas.microsoft.com/office/drawing/2014/main" id="{09A71BCA-921D-4605-8435-625349F1976A}"/>
            </a:ext>
          </a:extLst>
        </xdr:cNvPr>
        <xdr:cNvSpPr/>
      </xdr:nvSpPr>
      <xdr:spPr>
        <a:xfrm>
          <a:off x="9387417" y="3354916"/>
          <a:ext cx="418588" cy="416847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13</xdr:col>
      <xdr:colOff>490622</xdr:colOff>
      <xdr:row>11</xdr:row>
      <xdr:rowOff>102658</xdr:rowOff>
    </xdr:from>
    <xdr:to>
      <xdr:col>13</xdr:col>
      <xdr:colOff>877767</xdr:colOff>
      <xdr:row>11</xdr:row>
      <xdr:rowOff>501172</xdr:rowOff>
    </xdr:to>
    <xdr:sp macro="[0]!add_despesas" textlink="">
      <xdr:nvSpPr>
        <xdr:cNvPr id="10" name="Sinal de Adição 9">
          <a:extLst>
            <a:ext uri="{FF2B5EF4-FFF2-40B4-BE49-F238E27FC236}">
              <a16:creationId xmlns:a16="http://schemas.microsoft.com/office/drawing/2014/main" id="{F64E2DEA-3365-4CCC-B158-44283AE36E3B}"/>
            </a:ext>
          </a:extLst>
        </xdr:cNvPr>
        <xdr:cNvSpPr/>
      </xdr:nvSpPr>
      <xdr:spPr>
        <a:xfrm>
          <a:off x="18185955" y="3383491"/>
          <a:ext cx="387145" cy="398514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980254</xdr:colOff>
      <xdr:row>0</xdr:row>
      <xdr:rowOff>506668</xdr:rowOff>
    </xdr:from>
    <xdr:to>
      <xdr:col>13</xdr:col>
      <xdr:colOff>526536</xdr:colOff>
      <xdr:row>0</xdr:row>
      <xdr:rowOff>953012</xdr:rowOff>
    </xdr:to>
    <xdr:sp macro="[0]!next_mes" textlink="">
      <xdr:nvSpPr>
        <xdr:cNvPr id="4" name="Seta: para a Direita 3">
          <a:extLst>
            <a:ext uri="{FF2B5EF4-FFF2-40B4-BE49-F238E27FC236}">
              <a16:creationId xmlns:a16="http://schemas.microsoft.com/office/drawing/2014/main" id="{5C109C1D-55DB-4661-8819-57EC8D0E2FAC}"/>
            </a:ext>
          </a:extLst>
        </xdr:cNvPr>
        <xdr:cNvSpPr/>
      </xdr:nvSpPr>
      <xdr:spPr>
        <a:xfrm>
          <a:off x="17677579" y="506668"/>
          <a:ext cx="546407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152707</xdr:colOff>
      <xdr:row>0</xdr:row>
      <xdr:rowOff>495709</xdr:rowOff>
    </xdr:from>
    <xdr:to>
      <xdr:col>11</xdr:col>
      <xdr:colOff>821506</xdr:colOff>
      <xdr:row>0</xdr:row>
      <xdr:rowOff>942053</xdr:rowOff>
    </xdr:to>
    <xdr:sp macro="[0]!back_mes" textlink="">
      <xdr:nvSpPr>
        <xdr:cNvPr id="5" name="Seta: para a Direita 4">
          <a:extLst>
            <a:ext uri="{FF2B5EF4-FFF2-40B4-BE49-F238E27FC236}">
              <a16:creationId xmlns:a16="http://schemas.microsoft.com/office/drawing/2014/main" id="{3CDBF3B9-3FDE-431C-981E-D42EEE40E8AC}"/>
            </a:ext>
          </a:extLst>
        </xdr:cNvPr>
        <xdr:cNvSpPr/>
      </xdr:nvSpPr>
      <xdr:spPr>
        <a:xfrm rot="10800000">
          <a:off x="15640357" y="495709"/>
          <a:ext cx="668799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11</xdr:col>
      <xdr:colOff>769272</xdr:colOff>
      <xdr:row>0</xdr:row>
      <xdr:rowOff>471437</xdr:rowOff>
    </xdr:from>
    <xdr:ext cx="1463470" cy="506357"/>
    <xdr:sp macro="[0]!MENU" textlink="">
      <xdr:nvSpPr>
        <xdr:cNvPr id="6" name="Retângulo 5">
          <a:extLst>
            <a:ext uri="{FF2B5EF4-FFF2-40B4-BE49-F238E27FC236}">
              <a16:creationId xmlns:a16="http://schemas.microsoft.com/office/drawing/2014/main" id="{200BDB56-858D-4B89-9962-9C0A15FE5C5C}"/>
            </a:ext>
          </a:extLst>
        </xdr:cNvPr>
        <xdr:cNvSpPr/>
      </xdr:nvSpPr>
      <xdr:spPr>
        <a:xfrm>
          <a:off x="16256922" y="471437"/>
          <a:ext cx="1463470" cy="5063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MENU</a:t>
          </a:r>
        </a:p>
      </xdr:txBody>
    </xdr:sp>
    <xdr:clientData/>
  </xdr:oneCellAnchor>
  <xdr:oneCellAnchor>
    <xdr:from>
      <xdr:col>3</xdr:col>
      <xdr:colOff>786480</xdr:colOff>
      <xdr:row>0</xdr:row>
      <xdr:rowOff>334206</xdr:rowOff>
    </xdr:from>
    <xdr:ext cx="7313349" cy="757708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632F0A7-30A4-428D-BCEA-1F0C9FC56205}"/>
            </a:ext>
          </a:extLst>
        </xdr:cNvPr>
        <xdr:cNvSpPr/>
      </xdr:nvSpPr>
      <xdr:spPr>
        <a:xfrm>
          <a:off x="5444205" y="334206"/>
          <a:ext cx="7313349" cy="75770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500" b="0" cap="none" spc="0">
              <a:ln w="0"/>
              <a:solidFill>
                <a:srgbClr val="EF6E2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FLUXO DE CAIXA - MARÇO</a:t>
          </a:r>
        </a:p>
      </xdr:txBody>
    </xdr:sp>
    <xdr:clientData/>
  </xdr:oneCellAnchor>
  <xdr:twoCellAnchor editAs="oneCell">
    <xdr:from>
      <xdr:col>0</xdr:col>
      <xdr:colOff>990600</xdr:colOff>
      <xdr:row>0</xdr:row>
      <xdr:rowOff>0</xdr:rowOff>
    </xdr:from>
    <xdr:to>
      <xdr:col>1</xdr:col>
      <xdr:colOff>485057</xdr:colOff>
      <xdr:row>0</xdr:row>
      <xdr:rowOff>1350035</xdr:rowOff>
    </xdr:to>
    <xdr:pic macro="[0]!page_up">
      <xdr:nvPicPr>
        <xdr:cNvPr id="8" name="Imagem 7">
          <a:extLst>
            <a:ext uri="{FF2B5EF4-FFF2-40B4-BE49-F238E27FC236}">
              <a16:creationId xmlns:a16="http://schemas.microsoft.com/office/drawing/2014/main" id="{AC9AC98C-0A67-4EBE-8B92-6557AB978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" y="0"/>
          <a:ext cx="1323257" cy="1350035"/>
        </a:xfrm>
        <a:prstGeom prst="rect">
          <a:avLst/>
        </a:prstGeom>
      </xdr:spPr>
    </xdr:pic>
    <xdr:clientData/>
  </xdr:twoCellAnchor>
  <xdr:twoCellAnchor>
    <xdr:from>
      <xdr:col>6</xdr:col>
      <xdr:colOff>349251</xdr:colOff>
      <xdr:row>11</xdr:row>
      <xdr:rowOff>84667</xdr:rowOff>
    </xdr:from>
    <xdr:to>
      <xdr:col>6</xdr:col>
      <xdr:colOff>767839</xdr:colOff>
      <xdr:row>11</xdr:row>
      <xdr:rowOff>501514</xdr:rowOff>
    </xdr:to>
    <xdr:sp macro="[0]!add_receita" textlink="">
      <xdr:nvSpPr>
        <xdr:cNvPr id="9" name="Sinal de Adição 8">
          <a:extLst>
            <a:ext uri="{FF2B5EF4-FFF2-40B4-BE49-F238E27FC236}">
              <a16:creationId xmlns:a16="http://schemas.microsoft.com/office/drawing/2014/main" id="{CB6B2BF7-DE53-4588-AC19-9357CB9F387B}"/>
            </a:ext>
          </a:extLst>
        </xdr:cNvPr>
        <xdr:cNvSpPr/>
      </xdr:nvSpPr>
      <xdr:spPr>
        <a:xfrm>
          <a:off x="9376834" y="3365500"/>
          <a:ext cx="418588" cy="416847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13</xdr:col>
      <xdr:colOff>480039</xdr:colOff>
      <xdr:row>11</xdr:row>
      <xdr:rowOff>113242</xdr:rowOff>
    </xdr:from>
    <xdr:to>
      <xdr:col>13</xdr:col>
      <xdr:colOff>867184</xdr:colOff>
      <xdr:row>11</xdr:row>
      <xdr:rowOff>511756</xdr:rowOff>
    </xdr:to>
    <xdr:sp macro="[0]!add_despesas" textlink="">
      <xdr:nvSpPr>
        <xdr:cNvPr id="10" name="Sinal de Adição 9">
          <a:extLst>
            <a:ext uri="{FF2B5EF4-FFF2-40B4-BE49-F238E27FC236}">
              <a16:creationId xmlns:a16="http://schemas.microsoft.com/office/drawing/2014/main" id="{8247CB75-3DC5-42D8-A562-027D0805597E}"/>
            </a:ext>
          </a:extLst>
        </xdr:cNvPr>
        <xdr:cNvSpPr/>
      </xdr:nvSpPr>
      <xdr:spPr>
        <a:xfrm>
          <a:off x="18175372" y="3394075"/>
          <a:ext cx="387145" cy="398514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980254</xdr:colOff>
      <xdr:row>0</xdr:row>
      <xdr:rowOff>506668</xdr:rowOff>
    </xdr:from>
    <xdr:to>
      <xdr:col>13</xdr:col>
      <xdr:colOff>526536</xdr:colOff>
      <xdr:row>0</xdr:row>
      <xdr:rowOff>953012</xdr:rowOff>
    </xdr:to>
    <xdr:sp macro="[0]!next_mes" textlink="">
      <xdr:nvSpPr>
        <xdr:cNvPr id="4" name="Seta: para a Direita 3">
          <a:extLst>
            <a:ext uri="{FF2B5EF4-FFF2-40B4-BE49-F238E27FC236}">
              <a16:creationId xmlns:a16="http://schemas.microsoft.com/office/drawing/2014/main" id="{3144AB99-6C74-4CEB-A891-991472A36136}"/>
            </a:ext>
          </a:extLst>
        </xdr:cNvPr>
        <xdr:cNvSpPr/>
      </xdr:nvSpPr>
      <xdr:spPr>
        <a:xfrm>
          <a:off x="17677579" y="506668"/>
          <a:ext cx="546407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152707</xdr:colOff>
      <xdr:row>0</xdr:row>
      <xdr:rowOff>495709</xdr:rowOff>
    </xdr:from>
    <xdr:to>
      <xdr:col>11</xdr:col>
      <xdr:colOff>821506</xdr:colOff>
      <xdr:row>0</xdr:row>
      <xdr:rowOff>942053</xdr:rowOff>
    </xdr:to>
    <xdr:sp macro="[0]!back_mes" textlink="">
      <xdr:nvSpPr>
        <xdr:cNvPr id="5" name="Seta: para a Direita 4">
          <a:extLst>
            <a:ext uri="{FF2B5EF4-FFF2-40B4-BE49-F238E27FC236}">
              <a16:creationId xmlns:a16="http://schemas.microsoft.com/office/drawing/2014/main" id="{AEB77ABF-2148-48FD-B0E5-56F338694026}"/>
            </a:ext>
          </a:extLst>
        </xdr:cNvPr>
        <xdr:cNvSpPr/>
      </xdr:nvSpPr>
      <xdr:spPr>
        <a:xfrm rot="10800000">
          <a:off x="15640357" y="495709"/>
          <a:ext cx="668799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11</xdr:col>
      <xdr:colOff>769272</xdr:colOff>
      <xdr:row>0</xdr:row>
      <xdr:rowOff>471437</xdr:rowOff>
    </xdr:from>
    <xdr:ext cx="1463470" cy="506357"/>
    <xdr:sp macro="[0]!MENU" textlink="">
      <xdr:nvSpPr>
        <xdr:cNvPr id="6" name="Retângulo 5">
          <a:extLst>
            <a:ext uri="{FF2B5EF4-FFF2-40B4-BE49-F238E27FC236}">
              <a16:creationId xmlns:a16="http://schemas.microsoft.com/office/drawing/2014/main" id="{1D69111F-A7AF-4AF0-B115-AFB7620B5DF9}"/>
            </a:ext>
          </a:extLst>
        </xdr:cNvPr>
        <xdr:cNvSpPr/>
      </xdr:nvSpPr>
      <xdr:spPr>
        <a:xfrm>
          <a:off x="16256922" y="471437"/>
          <a:ext cx="1463470" cy="5063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MENU</a:t>
          </a:r>
        </a:p>
      </xdr:txBody>
    </xdr:sp>
    <xdr:clientData/>
  </xdr:oneCellAnchor>
  <xdr:oneCellAnchor>
    <xdr:from>
      <xdr:col>3</xdr:col>
      <xdr:colOff>1083965</xdr:colOff>
      <xdr:row>0</xdr:row>
      <xdr:rowOff>334206</xdr:rowOff>
    </xdr:from>
    <xdr:ext cx="6718378" cy="757708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6732DDE8-6A31-4886-BC1B-F5D2B4E1F4EB}"/>
            </a:ext>
          </a:extLst>
        </xdr:cNvPr>
        <xdr:cNvSpPr/>
      </xdr:nvSpPr>
      <xdr:spPr>
        <a:xfrm>
          <a:off x="5741690" y="334206"/>
          <a:ext cx="6718378" cy="75770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500" b="0" cap="none" spc="0">
              <a:ln w="0"/>
              <a:solidFill>
                <a:srgbClr val="EF6E2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FLUXO DE CAIXA - ABRIL</a:t>
          </a:r>
        </a:p>
      </xdr:txBody>
    </xdr:sp>
    <xdr:clientData/>
  </xdr:oneCellAnchor>
  <xdr:twoCellAnchor editAs="oneCell">
    <xdr:from>
      <xdr:col>0</xdr:col>
      <xdr:colOff>1152525</xdr:colOff>
      <xdr:row>0</xdr:row>
      <xdr:rowOff>0</xdr:rowOff>
    </xdr:from>
    <xdr:to>
      <xdr:col>1</xdr:col>
      <xdr:colOff>646982</xdr:colOff>
      <xdr:row>0</xdr:row>
      <xdr:rowOff>1350035</xdr:rowOff>
    </xdr:to>
    <xdr:pic macro="[0]!page_up">
      <xdr:nvPicPr>
        <xdr:cNvPr id="8" name="Imagem 7">
          <a:extLst>
            <a:ext uri="{FF2B5EF4-FFF2-40B4-BE49-F238E27FC236}">
              <a16:creationId xmlns:a16="http://schemas.microsoft.com/office/drawing/2014/main" id="{359982B5-1466-46D3-A030-F06C317BD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5" y="0"/>
          <a:ext cx="1323257" cy="1350035"/>
        </a:xfrm>
        <a:prstGeom prst="rect">
          <a:avLst/>
        </a:prstGeom>
      </xdr:spPr>
    </xdr:pic>
    <xdr:clientData/>
  </xdr:twoCellAnchor>
  <xdr:twoCellAnchor>
    <xdr:from>
      <xdr:col>6</xdr:col>
      <xdr:colOff>349250</xdr:colOff>
      <xdr:row>11</xdr:row>
      <xdr:rowOff>84666</xdr:rowOff>
    </xdr:from>
    <xdr:to>
      <xdr:col>6</xdr:col>
      <xdr:colOff>767838</xdr:colOff>
      <xdr:row>11</xdr:row>
      <xdr:rowOff>501513</xdr:rowOff>
    </xdr:to>
    <xdr:sp macro="[0]!add_receita" textlink="">
      <xdr:nvSpPr>
        <xdr:cNvPr id="9" name="Sinal de Adição 8">
          <a:extLst>
            <a:ext uri="{FF2B5EF4-FFF2-40B4-BE49-F238E27FC236}">
              <a16:creationId xmlns:a16="http://schemas.microsoft.com/office/drawing/2014/main" id="{1015DFA1-F6BC-479A-9273-3FCEDDD1D8F9}"/>
            </a:ext>
          </a:extLst>
        </xdr:cNvPr>
        <xdr:cNvSpPr/>
      </xdr:nvSpPr>
      <xdr:spPr>
        <a:xfrm>
          <a:off x="9376833" y="3365499"/>
          <a:ext cx="418588" cy="416847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13</xdr:col>
      <xdr:colOff>480038</xdr:colOff>
      <xdr:row>11</xdr:row>
      <xdr:rowOff>113241</xdr:rowOff>
    </xdr:from>
    <xdr:to>
      <xdr:col>13</xdr:col>
      <xdr:colOff>867183</xdr:colOff>
      <xdr:row>11</xdr:row>
      <xdr:rowOff>511755</xdr:rowOff>
    </xdr:to>
    <xdr:sp macro="[0]!add_despesas" textlink="">
      <xdr:nvSpPr>
        <xdr:cNvPr id="10" name="Sinal de Adição 9">
          <a:extLst>
            <a:ext uri="{FF2B5EF4-FFF2-40B4-BE49-F238E27FC236}">
              <a16:creationId xmlns:a16="http://schemas.microsoft.com/office/drawing/2014/main" id="{EC78FD8C-D8AD-4148-9D26-9C72A84B50BC}"/>
            </a:ext>
          </a:extLst>
        </xdr:cNvPr>
        <xdr:cNvSpPr/>
      </xdr:nvSpPr>
      <xdr:spPr>
        <a:xfrm>
          <a:off x="18175371" y="3394074"/>
          <a:ext cx="387145" cy="398514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152707</xdr:colOff>
      <xdr:row>0</xdr:row>
      <xdr:rowOff>495709</xdr:rowOff>
    </xdr:from>
    <xdr:to>
      <xdr:col>11</xdr:col>
      <xdr:colOff>821506</xdr:colOff>
      <xdr:row>0</xdr:row>
      <xdr:rowOff>942053</xdr:rowOff>
    </xdr:to>
    <xdr:sp macro="[0]!back_mes" textlink="">
      <xdr:nvSpPr>
        <xdr:cNvPr id="5" name="Seta: para a Direita 4">
          <a:extLst>
            <a:ext uri="{FF2B5EF4-FFF2-40B4-BE49-F238E27FC236}">
              <a16:creationId xmlns:a16="http://schemas.microsoft.com/office/drawing/2014/main" id="{ABA0A103-7D9E-48F9-BE40-5B689946CC75}"/>
            </a:ext>
          </a:extLst>
        </xdr:cNvPr>
        <xdr:cNvSpPr/>
      </xdr:nvSpPr>
      <xdr:spPr>
        <a:xfrm rot="10800000">
          <a:off x="15640357" y="495709"/>
          <a:ext cx="668799" cy="446344"/>
        </a:xfrm>
        <a:prstGeom prst="rightArrow">
          <a:avLst/>
        </a:prstGeom>
        <a:gradFill flip="none" rotWithShape="1">
          <a:gsLst>
            <a:gs pos="0">
              <a:srgbClr val="EF6E26">
                <a:shade val="30000"/>
                <a:satMod val="115000"/>
              </a:srgbClr>
            </a:gs>
            <a:gs pos="50000">
              <a:srgbClr val="EF6E26">
                <a:shade val="67500"/>
                <a:satMod val="115000"/>
              </a:srgbClr>
            </a:gs>
            <a:gs pos="100000">
              <a:srgbClr val="EF6E26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11</xdr:col>
      <xdr:colOff>769272</xdr:colOff>
      <xdr:row>0</xdr:row>
      <xdr:rowOff>471437</xdr:rowOff>
    </xdr:from>
    <xdr:ext cx="1463470" cy="506357"/>
    <xdr:sp macro="[0]!MENU" textlink="">
      <xdr:nvSpPr>
        <xdr:cNvPr id="6" name="Retângulo 5">
          <a:extLst>
            <a:ext uri="{FF2B5EF4-FFF2-40B4-BE49-F238E27FC236}">
              <a16:creationId xmlns:a16="http://schemas.microsoft.com/office/drawing/2014/main" id="{CDB64D86-B3A7-4B7E-9B66-8DE7718D659F}"/>
            </a:ext>
          </a:extLst>
        </xdr:cNvPr>
        <xdr:cNvSpPr/>
      </xdr:nvSpPr>
      <xdr:spPr>
        <a:xfrm>
          <a:off x="16256922" y="471437"/>
          <a:ext cx="1463470" cy="5063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MENU</a:t>
          </a:r>
        </a:p>
      </xdr:txBody>
    </xdr:sp>
    <xdr:clientData/>
  </xdr:oneCellAnchor>
  <xdr:oneCellAnchor>
    <xdr:from>
      <xdr:col>3</xdr:col>
      <xdr:colOff>1114551</xdr:colOff>
      <xdr:row>0</xdr:row>
      <xdr:rowOff>334206</xdr:rowOff>
    </xdr:from>
    <xdr:ext cx="6657208" cy="757708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E7F8F8BB-76F7-463D-A703-00A400E3CBCA}"/>
            </a:ext>
          </a:extLst>
        </xdr:cNvPr>
        <xdr:cNvSpPr/>
      </xdr:nvSpPr>
      <xdr:spPr>
        <a:xfrm>
          <a:off x="5772276" y="334206"/>
          <a:ext cx="6657208" cy="75770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500" b="0" cap="none" spc="0">
              <a:ln w="0"/>
              <a:solidFill>
                <a:srgbClr val="EF6E2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ilroy Light" panose="00000400000000000000" pitchFamily="2" charset="0"/>
            </a:rPr>
            <a:t>FLUXO DE CAIXA - MAIO</a:t>
          </a:r>
        </a:p>
      </xdr:txBody>
    </xdr:sp>
    <xdr:clientData/>
  </xdr:oneCellAnchor>
  <xdr:twoCellAnchor editAs="oneCell">
    <xdr:from>
      <xdr:col>0</xdr:col>
      <xdr:colOff>1162050</xdr:colOff>
      <xdr:row>0</xdr:row>
      <xdr:rowOff>0</xdr:rowOff>
    </xdr:from>
    <xdr:to>
      <xdr:col>1</xdr:col>
      <xdr:colOff>656507</xdr:colOff>
      <xdr:row>0</xdr:row>
      <xdr:rowOff>1350035</xdr:rowOff>
    </xdr:to>
    <xdr:pic macro="[0]!page_up">
      <xdr:nvPicPr>
        <xdr:cNvPr id="8" name="Imagem 7">
          <a:extLst>
            <a:ext uri="{FF2B5EF4-FFF2-40B4-BE49-F238E27FC236}">
              <a16:creationId xmlns:a16="http://schemas.microsoft.com/office/drawing/2014/main" id="{F110BF88-637C-4FA0-AA37-2130762F4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0"/>
          <a:ext cx="1323257" cy="1350035"/>
        </a:xfrm>
        <a:prstGeom prst="rect">
          <a:avLst/>
        </a:prstGeom>
      </xdr:spPr>
    </xdr:pic>
    <xdr:clientData/>
  </xdr:twoCellAnchor>
  <xdr:twoCellAnchor>
    <xdr:from>
      <xdr:col>6</xdr:col>
      <xdr:colOff>342900</xdr:colOff>
      <xdr:row>11</xdr:row>
      <xdr:rowOff>104775</xdr:rowOff>
    </xdr:from>
    <xdr:to>
      <xdr:col>6</xdr:col>
      <xdr:colOff>761488</xdr:colOff>
      <xdr:row>11</xdr:row>
      <xdr:rowOff>521622</xdr:rowOff>
    </xdr:to>
    <xdr:sp macro="[0]!add_receita" textlink="">
      <xdr:nvSpPr>
        <xdr:cNvPr id="9" name="Sinal de Adição 8">
          <a:extLst>
            <a:ext uri="{FF2B5EF4-FFF2-40B4-BE49-F238E27FC236}">
              <a16:creationId xmlns:a16="http://schemas.microsoft.com/office/drawing/2014/main" id="{28EB4924-E953-4269-BF13-F87E57F23C8C}"/>
            </a:ext>
          </a:extLst>
        </xdr:cNvPr>
        <xdr:cNvSpPr/>
      </xdr:nvSpPr>
      <xdr:spPr>
        <a:xfrm>
          <a:off x="9372600" y="3048000"/>
          <a:ext cx="418588" cy="416847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13</xdr:col>
      <xdr:colOff>473688</xdr:colOff>
      <xdr:row>11</xdr:row>
      <xdr:rowOff>133350</xdr:rowOff>
    </xdr:from>
    <xdr:to>
      <xdr:col>13</xdr:col>
      <xdr:colOff>860833</xdr:colOff>
      <xdr:row>11</xdr:row>
      <xdr:rowOff>531864</xdr:rowOff>
    </xdr:to>
    <xdr:sp macro="[0]!add_despesas" textlink="">
      <xdr:nvSpPr>
        <xdr:cNvPr id="10" name="Sinal de Adição 9">
          <a:extLst>
            <a:ext uri="{FF2B5EF4-FFF2-40B4-BE49-F238E27FC236}">
              <a16:creationId xmlns:a16="http://schemas.microsoft.com/office/drawing/2014/main" id="{39CBC8ED-CAEE-4186-998B-ED7C9BC860B8}"/>
            </a:ext>
          </a:extLst>
        </xdr:cNvPr>
        <xdr:cNvSpPr/>
      </xdr:nvSpPr>
      <xdr:spPr>
        <a:xfrm>
          <a:off x="18171138" y="3076575"/>
          <a:ext cx="387145" cy="398514"/>
        </a:xfrm>
        <a:prstGeom prst="mathPlus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5</xdr:row>
      <xdr:rowOff>76200</xdr:rowOff>
    </xdr:from>
    <xdr:to>
      <xdr:col>8</xdr:col>
      <xdr:colOff>38100</xdr:colOff>
      <xdr:row>8</xdr:row>
      <xdr:rowOff>28575</xdr:rowOff>
    </xdr:to>
    <xdr:sp macro="" textlink="">
      <xdr:nvSpPr>
        <xdr:cNvPr id="2" name="Elips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818477-01F1-4D58-A5F8-247580EBCFFB}"/>
            </a:ext>
          </a:extLst>
        </xdr:cNvPr>
        <xdr:cNvSpPr/>
      </xdr:nvSpPr>
      <xdr:spPr>
        <a:xfrm>
          <a:off x="4629150" y="1028700"/>
          <a:ext cx="885825" cy="523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81B0D3-0F88-4C0D-856E-5D9AE81CA755}" name="Tabela1" displayName="Tabela1" ref="A13:G20" totalsRowShown="0" headerRowDxfId="319" dataDxfId="317" headerRowBorderDxfId="318" tableBorderDxfId="316" totalsRowBorderDxfId="315" headerRowCellStyle="Estilo 2" dataCellStyle="Estilo 2">
  <autoFilter ref="A13:G20" xr:uid="{0081B0D3-0F88-4C0D-856E-5D9AE81CA755}"/>
  <tableColumns count="7">
    <tableColumn id="19" xr3:uid="{DCAC267A-C286-4911-BA23-6CFAA10A0E8B}" name="Cliente" dataDxfId="314" dataCellStyle="Estilo 2"/>
    <tableColumn id="1" xr3:uid="{7E770B8B-8550-4895-8CB4-58AEA3E4B642}" name="DESCRIÇÃO" dataDxfId="313" dataCellStyle="Estilo 2"/>
    <tableColumn id="2" xr3:uid="{8BF20407-F97E-4FB2-9CFD-A504161D09C3}" name="DATA" dataDxfId="312" dataCellStyle="Estilo 2"/>
    <tableColumn id="3" xr3:uid="{B557A2BC-E297-495B-8813-3F25C7FDCF67}" name="VALOR BRUTO" dataDxfId="311" dataCellStyle="Moeda"/>
    <tableColumn id="4" xr3:uid="{F83D17DF-6C40-4ACE-A637-7542DAC2D4FB}" name="DESCONTO" dataDxfId="310" dataCellStyle="Estilo 2"/>
    <tableColumn id="5" xr3:uid="{2339899B-7458-438A-B3EA-6752AE4FD361}" name="FORMA DE PAGAMENTO" dataDxfId="309" dataCellStyle="Estilo 2"/>
    <tableColumn id="6" xr3:uid="{F8D7A155-29D3-4B7F-A716-47F2C1A77ADC}" name="VALOR LÍQUIDO" dataDxfId="308" dataCellStyle="Moeda">
      <calculatedColumnFormula>Tabela1[[#This Row],[VALOR BRUTO]]*(1-Tabela1[[#This Row],[DESCONTO]])</calculatedColumn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74C54C-2B15-491F-B42C-BF1461B38D69}" name="Tabela2" displayName="Tabela2" ref="I13:N19" totalsRowShown="0" headerRowDxfId="307" dataDxfId="305" headerRowBorderDxfId="306" tableBorderDxfId="304" totalsRowBorderDxfId="303" headerRowCellStyle="Estilo 2" dataCellStyle="Estilo 2">
  <autoFilter ref="I13:N19" xr:uid="{B174C54C-2B15-491F-B42C-BF1461B38D69}"/>
  <tableColumns count="6">
    <tableColumn id="6" xr3:uid="{199C0187-B574-4CD0-AF39-8D1203D41966}" name="Cliente" dataDxfId="302" dataCellStyle="Estilo 2"/>
    <tableColumn id="1" xr3:uid="{7EDE9FCE-8444-4D33-8B2F-5B49BEFF27F7}" name="DESCRIÇÃO" dataDxfId="301" dataCellStyle="Estilo 2"/>
    <tableColumn id="2" xr3:uid="{C79D0BB9-584B-4ABC-96D1-BB8451881148}" name="DATA DE VENCIMENTO" dataDxfId="300" dataCellStyle="Estilo 2"/>
    <tableColumn id="3" xr3:uid="{C9AC8289-7D2C-4663-9B56-511BE50B0321}" name="DATA DO PAGAMENTO" dataDxfId="299" dataCellStyle="Estilo 2"/>
    <tableColumn id="4" xr3:uid="{A38D860D-88B0-4485-902A-31C07B5FBABB}" name="TIPO" dataDxfId="298" dataCellStyle="Estilo 2"/>
    <tableColumn id="5" xr3:uid="{5D449AAC-A14C-4638-829E-B3DD1146A703}" name="VALOR" dataDxfId="297" dataCellStyle="Moeda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9C53FC7-ACE2-4FA1-9F06-6FEE74F8AF07}" name="Tabela14" displayName="Tabela14" ref="A13:G19" totalsRowShown="0" headerRowDxfId="292" dataDxfId="290" headerRowBorderDxfId="291" tableBorderDxfId="289" totalsRowBorderDxfId="288" headerRowCellStyle="Estilo 2" dataCellStyle="Estilo 2">
  <autoFilter ref="A13:G19" xr:uid="{A9C53FC7-ACE2-4FA1-9F06-6FEE74F8AF07}"/>
  <tableColumns count="7">
    <tableColumn id="19" xr3:uid="{AB304071-3241-4EA0-B12C-F5FB0F1CCDDF}" name="Cliente" dataDxfId="287" dataCellStyle="Estilo 2"/>
    <tableColumn id="1" xr3:uid="{D847D43F-C415-40E7-8A99-DB6662ABE044}" name="DESCRIÇÃO" dataDxfId="286" dataCellStyle="Estilo 2"/>
    <tableColumn id="2" xr3:uid="{7E343AD9-6F60-44C7-B598-CED736233403}" name="DATA" dataDxfId="285" dataCellStyle="Estilo 2"/>
    <tableColumn id="3" xr3:uid="{8951BACE-B3DF-40FC-B24D-22B866E9687B}" name="VALOR BRUTO" dataDxfId="284" dataCellStyle="Moeda"/>
    <tableColumn id="4" xr3:uid="{57D1FB73-BC4D-406F-AA38-60A3FC5711CF}" name="DESCONTO" dataDxfId="283" dataCellStyle="Estilo 2"/>
    <tableColumn id="5" xr3:uid="{0A20A331-C6D6-4A5E-BF35-03659CAABD41}" name="FORMA DE PAGAMENTO" dataDxfId="282" dataCellStyle="Estilo 2"/>
    <tableColumn id="6" xr3:uid="{61DF66F0-6BD1-49FA-8CD6-5B257A3B1400}" name="VALOR LÍQUIDO" dataDxfId="281" dataCellStyle="Moeda">
      <calculatedColumnFormula>Tabela14[[#This Row],[VALOR BRUTO]]*(1-Tabela14[[#This Row],[DESCONTO]])</calculatedColumnFormula>
    </tableColumn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15489F-D8EB-4249-8DB6-0D978AA7113F}" name="Tabela25" displayName="Tabela25" ref="I13:N19" totalsRowShown="0" headerRowDxfId="280" dataDxfId="278" headerRowBorderDxfId="279" tableBorderDxfId="277" totalsRowBorderDxfId="276" headerRowCellStyle="Estilo 2" dataCellStyle="Estilo 2">
  <autoFilter ref="I13:N19" xr:uid="{7215489F-D8EB-4249-8DB6-0D978AA7113F}"/>
  <tableColumns count="6">
    <tableColumn id="6" xr3:uid="{18611D63-F59C-4155-82BC-003C903961FD}" name="Cliente" dataDxfId="275" dataCellStyle="Estilo 2"/>
    <tableColumn id="1" xr3:uid="{FFBB3FDB-C77C-4574-A115-4D27C0F176FF}" name="DESCRIÇÃO" dataDxfId="274" dataCellStyle="Estilo 2"/>
    <tableColumn id="2" xr3:uid="{DA9550D0-BF7E-414C-A9B9-5090CC44C657}" name="DATA DE VENCIMENTO" dataDxfId="273" dataCellStyle="Estilo 2"/>
    <tableColumn id="3" xr3:uid="{48D408B8-21D6-43CE-A531-C961F8AC3AFA}" name="DATA DO PAGAMENTO" dataDxfId="272" dataCellStyle="Estilo 2"/>
    <tableColumn id="4" xr3:uid="{2894A566-F1E1-4777-8A27-CBE208758638}" name="TIPO" dataDxfId="271" dataCellStyle="Estilo 2"/>
    <tableColumn id="5" xr3:uid="{D077351B-A026-4CEA-AC7C-3F4CB15B2C63}" name="VALOR" dataDxfId="270" dataCellStyle="Moeda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770CCF-5BB0-44D4-B091-9B9A99A60FE3}" name="Tabela146" displayName="Tabela146" ref="A13:G19" totalsRowShown="0" headerRowDxfId="265" dataDxfId="263" headerRowBorderDxfId="264" tableBorderDxfId="262" totalsRowBorderDxfId="261" headerRowCellStyle="Estilo 2" dataCellStyle="Estilo 2">
  <autoFilter ref="A13:G19" xr:uid="{8B770CCF-5BB0-44D4-B091-9B9A99A60FE3}"/>
  <tableColumns count="7">
    <tableColumn id="19" xr3:uid="{921D3139-4E6D-4D0D-B8D4-09C8A25A3A6B}" name="Cliente" dataDxfId="260" dataCellStyle="Estilo 2"/>
    <tableColumn id="1" xr3:uid="{81FC6079-8130-4954-833B-22FACCE9A881}" name="DESCRIÇÃO" dataDxfId="259" dataCellStyle="Estilo 2"/>
    <tableColumn id="2" xr3:uid="{C43A352A-EEE9-49F5-8BDF-C10F13F165F3}" name="DATA" dataDxfId="258" dataCellStyle="Estilo 2"/>
    <tableColumn id="3" xr3:uid="{73C21CBA-6023-4696-892C-B3B5BBEBEC12}" name="VALOR BRUTO" dataDxfId="257" dataCellStyle="Moeda"/>
    <tableColumn id="4" xr3:uid="{B1BF091C-CBB4-438A-ADD9-16FBD62C0D5C}" name="DESCONTO" dataDxfId="256" dataCellStyle="Estilo 2"/>
    <tableColumn id="5" xr3:uid="{FE88133B-5A12-42ED-90FE-54F4C5CC76FB}" name="FORMA DE PAGAMENTO" dataDxfId="255" dataCellStyle="Estilo 2"/>
    <tableColumn id="6" xr3:uid="{82AFC77B-FFE7-4CDA-9081-572725C0DB45}" name="VALOR LÍQUIDO" dataDxfId="254" dataCellStyle="Moeda">
      <calculatedColumnFormula>Tabela146[[#This Row],[VALOR BRUTO]]*(1-Tabela146[[#This Row],[DESCONTO]])</calculatedColumnFormula>
    </tableColumn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47A5DEB-282E-480C-B66C-76390BD6319C}" name="Tabela257" displayName="Tabela257" ref="I13:N19" totalsRowShown="0" headerRowDxfId="253" dataDxfId="251" headerRowBorderDxfId="252" tableBorderDxfId="250" totalsRowBorderDxfId="249" headerRowCellStyle="Estilo 2" dataCellStyle="Estilo 2">
  <autoFilter ref="I13:N19" xr:uid="{747A5DEB-282E-480C-B66C-76390BD6319C}"/>
  <tableColumns count="6">
    <tableColumn id="6" xr3:uid="{56DAF71B-8450-43B9-A472-B6FABFC5C28A}" name="Cliente" dataDxfId="248" dataCellStyle="Estilo 2"/>
    <tableColumn id="1" xr3:uid="{02C381E2-CF58-4D52-8FEF-D98350940D8A}" name="DESCRIÇÃO" dataDxfId="247" dataCellStyle="Estilo 2"/>
    <tableColumn id="2" xr3:uid="{86DABA1A-D519-4331-A882-54A9CFAD1738}" name="DATA DE VENCIMENTO" dataDxfId="246" dataCellStyle="Estilo 2"/>
    <tableColumn id="3" xr3:uid="{DB3454DC-0C4D-4E89-B3F9-16C078B48FF6}" name="DATA DO PAGAMENTO" dataDxfId="245" dataCellStyle="Estilo 2"/>
    <tableColumn id="4" xr3:uid="{B0811A52-4F9F-4738-9E27-A6DEC4DCA183}" name="TIPO" dataDxfId="244" dataCellStyle="Estilo 2"/>
    <tableColumn id="5" xr3:uid="{5EF1D7B3-3B58-456D-8672-A0214EADE6F2}" name="VALOR" dataDxfId="243" dataCellStyle="Moeda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92A0B9A-BD6E-49A3-AFE7-6CFB7DBCC9A3}" name="Tabela148" displayName="Tabela148" ref="A13:G21" totalsRowShown="0" headerRowDxfId="238" dataDxfId="236" headerRowBorderDxfId="237" tableBorderDxfId="235" totalsRowBorderDxfId="234" headerRowCellStyle="Estilo 2" dataCellStyle="Estilo 2">
  <autoFilter ref="A13:G21" xr:uid="{592A0B9A-BD6E-49A3-AFE7-6CFB7DBCC9A3}"/>
  <tableColumns count="7">
    <tableColumn id="19" xr3:uid="{406C7B12-F92E-4132-8683-4D4AA4B66D7A}" name="Cliente" dataDxfId="233" dataCellStyle="Estilo 2"/>
    <tableColumn id="1" xr3:uid="{1FCE443E-7B1D-41EC-883C-B8D114D38CDE}" name="DESCRIÇÃO" dataDxfId="232" dataCellStyle="Estilo 2"/>
    <tableColumn id="2" xr3:uid="{5C869733-30C1-40AC-B331-A6B13F91E418}" name="DATA" dataDxfId="231" dataCellStyle="Estilo 2"/>
    <tableColumn id="3" xr3:uid="{58286785-AD95-456D-AC66-B0028E1FFD8F}" name="VALOR BRUTO" dataDxfId="230" dataCellStyle="Moeda"/>
    <tableColumn id="4" xr3:uid="{38961B28-815E-4468-962E-565B6B296988}" name="DESCONTO" dataDxfId="229" dataCellStyle="Estilo 2"/>
    <tableColumn id="5" xr3:uid="{34D5BA09-86AC-45E1-B637-5A927B9966F5}" name="FORMA DE PAGAMENTO" dataDxfId="228" dataCellStyle="Estilo 2"/>
    <tableColumn id="6" xr3:uid="{24CF59D7-8786-4F85-86E8-6B69F6484B33}" name="VALOR LÍQUIDO" dataDxfId="227" dataCellStyle="Moeda">
      <calculatedColumnFormula>Tabela148[[#This Row],[VALOR BRUTO]]*(1-Tabela148[[#This Row],[DESCONTO]])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6D7DF07-363A-4368-A46C-B22B2551EEFD}" name="Tabela259" displayName="Tabela259" ref="I13:N19" totalsRowShown="0" headerRowDxfId="226" dataDxfId="224" headerRowBorderDxfId="225" tableBorderDxfId="223" totalsRowBorderDxfId="222" headerRowCellStyle="Estilo 2" dataCellStyle="Estilo 2">
  <autoFilter ref="I13:N19" xr:uid="{16D7DF07-363A-4368-A46C-B22B2551EEFD}"/>
  <tableColumns count="6">
    <tableColumn id="6" xr3:uid="{5CB1D4FD-945B-4562-BD0E-B96F456B7EFC}" name="Cliente" dataDxfId="221" dataCellStyle="Estilo 2"/>
    <tableColumn id="1" xr3:uid="{E368FD6F-46E2-4958-88B9-4C94E9EC5BC1}" name="DESCRIÇÃO" dataDxfId="220" dataCellStyle="Estilo 2"/>
    <tableColumn id="2" xr3:uid="{C53DB36F-8D03-4BFA-AEF2-B5693784B398}" name="DATA DE VENCIMENTO" dataDxfId="219" dataCellStyle="Estilo 2"/>
    <tableColumn id="3" xr3:uid="{1DFBE4EA-F466-4C48-AA09-34D3599C29BB}" name="DATA DO PAGAMENTO" dataDxfId="218" dataCellStyle="Estilo 2"/>
    <tableColumn id="4" xr3:uid="{50612280-AEDB-473B-A119-5D9422FC435E}" name="TIPO" dataDxfId="217" dataCellStyle="Estilo 2"/>
    <tableColumn id="5" xr3:uid="{67260637-AEC3-4AC9-819D-A1F1F269735D}" name="VALOR" dataDxfId="216" dataCellStyle="Moeda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7945D2C-52E2-4FBD-8F1C-A7EC9E575A1B}" name="Tabela1410" displayName="Tabela1410" ref="A13:G19" totalsRowShown="0" headerRowDxfId="211" dataDxfId="209" headerRowBorderDxfId="210" tableBorderDxfId="208" totalsRowBorderDxfId="207" headerRowCellStyle="Estilo 2" dataCellStyle="Estilo 2">
  <autoFilter ref="A13:G19" xr:uid="{97945D2C-52E2-4FBD-8F1C-A7EC9E575A1B}"/>
  <tableColumns count="7">
    <tableColumn id="19" xr3:uid="{301391D9-8987-4459-81F7-8DA51D1D53C0}" name="Cliente" dataDxfId="206" dataCellStyle="Estilo 2"/>
    <tableColumn id="1" xr3:uid="{6F4D9E80-B107-487E-822C-F241798627CC}" name="DESCRIÇÃO" dataDxfId="205" dataCellStyle="Estilo 2"/>
    <tableColumn id="2" xr3:uid="{475A2561-D663-4913-B204-266462CBF16C}" name="DATA" dataDxfId="204" dataCellStyle="Estilo 2"/>
    <tableColumn id="3" xr3:uid="{C48736AA-D1A8-4741-813C-0A9BEDB317F9}" name="VALOR BRUTO" dataDxfId="203" dataCellStyle="Moeda"/>
    <tableColumn id="4" xr3:uid="{F628277B-34AC-4BAD-B270-74EAFEFFF4C0}" name="DESCONTO" dataDxfId="202" dataCellStyle="Estilo 2"/>
    <tableColumn id="5" xr3:uid="{2782CA77-3358-4378-8C52-3AA6004C30DF}" name="FORMA DE PAGAMENTO" dataDxfId="201" dataCellStyle="Estilo 2"/>
    <tableColumn id="6" xr3:uid="{44E69E23-47AA-4D0B-9563-DDFD21034A69}" name="VALOR LÍQUIDO" dataDxfId="200" dataCellStyle="Moeda">
      <calculatedColumnFormula>Tabela1410[[#This Row],[VALOR BRUTO]]*(1-Tabela1410[[#This Row],[DESCONTO]])</calculatedColumnFormula>
    </tableColumn>
  </tableColumns>
  <tableStyleInfo name="TableStyleLight10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B26B85D-3588-4EDD-B02E-20EF2B27E868}" name="Tabela2511" displayName="Tabela2511" ref="I13:N19" totalsRowShown="0" headerRowDxfId="199" dataDxfId="197" headerRowBorderDxfId="198" tableBorderDxfId="196" totalsRowBorderDxfId="195" headerRowCellStyle="Estilo 2" dataCellStyle="Estilo 2">
  <autoFilter ref="I13:N19" xr:uid="{1B26B85D-3588-4EDD-B02E-20EF2B27E868}"/>
  <tableColumns count="6">
    <tableColumn id="6" xr3:uid="{024CEDA5-04F7-406F-A99D-B268AF5A4588}" name="Cliente" dataDxfId="194" dataCellStyle="Estilo 2"/>
    <tableColumn id="1" xr3:uid="{583A853B-35EC-4A8C-98AC-23B69207E9D3}" name="DESCRIÇÃO" dataDxfId="193" dataCellStyle="Estilo 2"/>
    <tableColumn id="2" xr3:uid="{0BE89C2B-0B80-4027-BA1A-45F03DC57CEA}" name="DATA DE VENCIMENTO" dataDxfId="192" dataCellStyle="Estilo 2"/>
    <tableColumn id="3" xr3:uid="{05DF51B4-C9D7-4D30-9ECE-92CB383EB2B6}" name="DATA DO PAGAMENTO" dataDxfId="191" dataCellStyle="Estilo 2"/>
    <tableColumn id="4" xr3:uid="{6B319639-B5E3-445A-8CC8-E10DAF1DA135}" name="TIPO" dataDxfId="190" dataCellStyle="Estilo 2"/>
    <tableColumn id="5" xr3:uid="{E2032B8D-4B36-43F0-80E0-923158E75EBE}" name="VALOR" dataDxfId="189" dataCellStyle="Moeda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FBE4B6F-2574-48D6-8C83-9A44183B8E89}" name="Tabela1412" displayName="Tabela1412" ref="A13:G19" totalsRowShown="0" headerRowDxfId="184" dataDxfId="182" headerRowBorderDxfId="183" tableBorderDxfId="181" totalsRowBorderDxfId="180" headerRowCellStyle="Estilo 2" dataCellStyle="Estilo 2">
  <autoFilter ref="A13:G19" xr:uid="{EFBE4B6F-2574-48D6-8C83-9A44183B8E89}"/>
  <tableColumns count="7">
    <tableColumn id="19" xr3:uid="{B13EFCAC-8AA8-4405-86EF-E5D8EB68EDD8}" name="Cliente" dataDxfId="179" dataCellStyle="Estilo 2"/>
    <tableColumn id="1" xr3:uid="{BEBF3D9A-7FE1-48AE-9549-D9DB50C30D54}" name="DESCRIÇÃO" dataDxfId="178" dataCellStyle="Estilo 2"/>
    <tableColumn id="2" xr3:uid="{B185D4FC-39E6-42DF-AB23-6003884631E5}" name="DATA" dataDxfId="177" dataCellStyle="Estilo 2"/>
    <tableColumn id="3" xr3:uid="{A039EEC9-10B3-44B0-AB72-14D7C1EEF0D6}" name="VALOR BRUTO" dataDxfId="176" dataCellStyle="Moeda"/>
    <tableColumn id="4" xr3:uid="{D45068B7-9998-4CED-B86A-B078C7018683}" name="DESCONTO" dataDxfId="175" dataCellStyle="Estilo 2"/>
    <tableColumn id="5" xr3:uid="{F0C92FC6-6409-4389-9E96-5A5E9FC67665}" name="FORMA DE PAGAMENTO" dataDxfId="174" dataCellStyle="Estilo 2"/>
    <tableColumn id="6" xr3:uid="{D201BB0B-2FD4-403F-81E5-60BB47F16059}" name="VALOR LÍQUIDO" dataDxfId="173" dataCellStyle="Moeda">
      <calculatedColumnFormula>Tabela1412[[#This Row],[VALOR BRUTO]]*(1-Tabela1412[[#This Row],[DESCONTO]])</calculatedColumnFormula>
    </tableColumn>
  </tableColumns>
  <tableStyleInfo name="TableStyleLight1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74A0F5-F016-4251-9B37-AB0FA99AA9C8}" name="Tabela2513" displayName="Tabela2513" ref="I13:N19" totalsRowShown="0" headerRowDxfId="172" dataDxfId="170" headerRowBorderDxfId="171" tableBorderDxfId="169" totalsRowBorderDxfId="168" headerRowCellStyle="Estilo 2" dataCellStyle="Estilo 2">
  <autoFilter ref="I13:N19" xr:uid="{A074A0F5-F016-4251-9B37-AB0FA99AA9C8}"/>
  <tableColumns count="6">
    <tableColumn id="6" xr3:uid="{E4EC49AA-5259-4A3B-A6A6-B2EF7049FB89}" name="Cliente" dataDxfId="167" dataCellStyle="Estilo 2"/>
    <tableColumn id="1" xr3:uid="{8BBA640C-B0B9-4ED6-9E90-57116159439B}" name="DESCRIÇÃO" dataDxfId="166" dataCellStyle="Estilo 2"/>
    <tableColumn id="2" xr3:uid="{DBE41B06-8162-4ADA-90AB-316628179716}" name="DATA DE VENCIMENTO" dataDxfId="165" dataCellStyle="Estilo 2"/>
    <tableColumn id="3" xr3:uid="{6F4A9234-49D1-4C54-B0FB-B9AEC2456938}" name="DATA DO PAGAMENTO" dataDxfId="164" dataCellStyle="Estilo 2"/>
    <tableColumn id="4" xr3:uid="{0B6179DB-4F38-4E3B-800C-CF90B14F47C1}" name="TIPO" dataDxfId="163" dataCellStyle="Estilo 2"/>
    <tableColumn id="5" xr3:uid="{F78C7CEA-DE1A-4E7D-9309-BCC3982C0201}" name="VALOR" dataDxfId="162" dataCellStyle="Moeda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2C6B22C-D156-45FD-A89A-D7322B77848B}" name="Tabela1414" displayName="Tabela1414" ref="A13:G19" totalsRowShown="0" headerRowDxfId="157" dataDxfId="155" headerRowBorderDxfId="156" tableBorderDxfId="154" totalsRowBorderDxfId="153" headerRowCellStyle="Estilo 2" dataCellStyle="Estilo 2">
  <autoFilter ref="A13:G19" xr:uid="{22C6B22C-D156-45FD-A89A-D7322B77848B}"/>
  <tableColumns count="7">
    <tableColumn id="19" xr3:uid="{912083F5-5F5B-47B3-BF3F-E226599DB751}" name="Cliente" dataDxfId="152" dataCellStyle="Estilo 2"/>
    <tableColumn id="1" xr3:uid="{2B4E00F9-3977-476A-9C70-2019435DCDA2}" name="DESCRIÇÃO" dataDxfId="151" dataCellStyle="Estilo 2"/>
    <tableColumn id="2" xr3:uid="{F102D5F9-FEAD-4BA4-A46D-0C63FD0DDFDE}" name="DATA" dataDxfId="150" dataCellStyle="Estilo 2"/>
    <tableColumn id="3" xr3:uid="{ACFDE91D-7C67-44D3-A33B-BF3E6D30F511}" name="VALOR BRUTO" dataDxfId="149" dataCellStyle="Moeda"/>
    <tableColumn id="4" xr3:uid="{D191B171-485D-4867-81F8-D1A65C8C5A67}" name="DESCONTO" dataDxfId="148" dataCellStyle="Estilo 2"/>
    <tableColumn id="5" xr3:uid="{B5FB33A4-0474-486E-9D23-09009B132054}" name="FORMA DE PAGAMENTO" dataDxfId="147" dataCellStyle="Estilo 2"/>
    <tableColumn id="6" xr3:uid="{8FA80254-3710-4F9C-AA0E-B368FC17C85A}" name="VALOR LÍQUIDO" dataDxfId="146" dataCellStyle="Moeda">
      <calculatedColumnFormula>Tabela1414[[#This Row],[VALOR BRUTO]]*(1-Tabela1414[[#This Row],[DESCONTO]])</calculatedColumnFormula>
    </tableColumn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7BF69C7-3FA0-45D7-9165-929B89DE5E2F}" name="Tabela2515" displayName="Tabela2515" ref="I13:N19" totalsRowShown="0" headerRowDxfId="145" dataDxfId="143" headerRowBorderDxfId="144" tableBorderDxfId="142" totalsRowBorderDxfId="141" headerRowCellStyle="Estilo 2" dataCellStyle="Estilo 2">
  <autoFilter ref="I13:N19" xr:uid="{97BF69C7-3FA0-45D7-9165-929B89DE5E2F}"/>
  <tableColumns count="6">
    <tableColumn id="6" xr3:uid="{A59E1CCB-7FCE-493C-8D69-FC128C44C115}" name="Cliente" dataDxfId="140" dataCellStyle="Estilo 2"/>
    <tableColumn id="1" xr3:uid="{3DA3A882-6A89-4047-B260-92D2E8C9DE3A}" name="DESCRIÇÃO" dataDxfId="139" dataCellStyle="Estilo 2"/>
    <tableColumn id="2" xr3:uid="{1CAC5C59-7A20-4DFC-A8FF-38FF91BA9A9B}" name="DATA DE VENCIMENTO" dataDxfId="138" dataCellStyle="Estilo 2"/>
    <tableColumn id="3" xr3:uid="{0824984B-D398-45BD-9678-A06B4D1DEAF3}" name="DATA DO PAGAMENTO" dataDxfId="137" dataCellStyle="Estilo 2"/>
    <tableColumn id="4" xr3:uid="{36E0B68A-428F-4CEE-9E91-168569E69497}" name="TIPO" dataDxfId="136" dataCellStyle="Estilo 2"/>
    <tableColumn id="5" xr3:uid="{CCF758DF-D609-4BC6-AA13-8954765A02C6}" name="VALOR" dataDxfId="135" dataCellStyle="Moeda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27601C-8593-4F74-97DE-8B1037E9DC61}" name="Tabela1416" displayName="Tabela1416" ref="A13:G20" totalsRowShown="0" headerRowDxfId="130" dataDxfId="128" headerRowBorderDxfId="129" tableBorderDxfId="127" totalsRowBorderDxfId="126" headerRowCellStyle="Estilo 2" dataCellStyle="Estilo 2">
  <autoFilter ref="A13:G20" xr:uid="{5A27601C-8593-4F74-97DE-8B1037E9DC61}"/>
  <tableColumns count="7">
    <tableColumn id="19" xr3:uid="{98A8379C-F3EE-40B8-8E2E-C969E229D204}" name="Cliente" dataDxfId="125" dataCellStyle="Estilo 2"/>
    <tableColumn id="1" xr3:uid="{A8A829BD-A759-4933-9DCE-16546DD40F60}" name="DESCRIÇÃO" dataDxfId="124" dataCellStyle="Estilo 2"/>
    <tableColumn id="2" xr3:uid="{5B2DE37D-3259-4C57-A486-387987967AF9}" name="DATA" dataDxfId="123" dataCellStyle="Estilo 2"/>
    <tableColumn id="3" xr3:uid="{CC6A6285-2DD9-4B79-B4C1-C984992EF8E8}" name="VALOR BRUTO" dataDxfId="122" dataCellStyle="Moeda"/>
    <tableColumn id="4" xr3:uid="{3F474F7A-6A60-4DB4-9C50-8B7CCEB9594D}" name="DESCONTO" dataDxfId="121" dataCellStyle="Estilo 2"/>
    <tableColumn id="5" xr3:uid="{91CDF2B9-738E-4226-84FF-BAE95CA038F6}" name="FORMA DE PAGAMENTO" dataDxfId="120" dataCellStyle="Estilo 2"/>
    <tableColumn id="6" xr3:uid="{95CF9A87-8009-4EA7-96E3-5098C541666F}" name="VALOR LÍQUIDO" dataDxfId="119" dataCellStyle="Moeda">
      <calculatedColumnFormula>Tabela1416[[#This Row],[VALOR BRUTO]]*(1-Tabela1416[[#This Row],[DESCONTO]])</calculatedColumnFormula>
    </tableColumn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2AB18D0-58EF-477D-887F-44F5008F46D0}" name="Tabela2517" displayName="Tabela2517" ref="I13:N19" totalsRowShown="0" headerRowDxfId="118" dataDxfId="116" headerRowBorderDxfId="117" tableBorderDxfId="115" totalsRowBorderDxfId="114" headerRowCellStyle="Estilo 2" dataCellStyle="Estilo 2">
  <autoFilter ref="I13:N19" xr:uid="{02AB18D0-58EF-477D-887F-44F5008F46D0}"/>
  <tableColumns count="6">
    <tableColumn id="6" xr3:uid="{FDF385A6-D7D7-4E54-BF45-C15AFAF657EA}" name="Cliente" dataDxfId="113" dataCellStyle="Estilo 2"/>
    <tableColumn id="1" xr3:uid="{3FE884D9-BA70-4267-8DDB-2CF7D973CF6E}" name="DESCRIÇÃO" dataDxfId="112" dataCellStyle="Estilo 2"/>
    <tableColumn id="2" xr3:uid="{EC4BE489-0A7A-441B-8053-593385A53B5F}" name="DATA DE VENCIMENTO" dataDxfId="111" dataCellStyle="Estilo 2"/>
    <tableColumn id="3" xr3:uid="{A73E7A65-989C-4B96-83EC-CD419B8D4A47}" name="DATA DO PAGAMENTO" dataDxfId="110" dataCellStyle="Estilo 2"/>
    <tableColumn id="4" xr3:uid="{552D243E-C8D2-4C43-8102-BCC03A087F16}" name="TIPO" dataDxfId="109" dataCellStyle="Estilo 2"/>
    <tableColumn id="5" xr3:uid="{B3A551F6-7B1A-49D0-907A-9C24364D75F1}" name="VALOR" dataDxfId="108" dataCellStyle="Moeda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7713D7-3930-4165-A58D-6D4BE3BA43E8}" name="Tabela1418" displayName="Tabela1418" ref="A13:G19" totalsRowShown="0" headerRowDxfId="103" dataDxfId="101" headerRowBorderDxfId="102" tableBorderDxfId="100" totalsRowBorderDxfId="99" headerRowCellStyle="Estilo 2" dataCellStyle="Estilo 2">
  <autoFilter ref="A13:G19" xr:uid="{BB7713D7-3930-4165-A58D-6D4BE3BA43E8}"/>
  <tableColumns count="7">
    <tableColumn id="19" xr3:uid="{9A0A055D-6E0B-48C4-B03B-139E01832E7C}" name="Cliente" dataDxfId="98" dataCellStyle="Estilo 2"/>
    <tableColumn id="1" xr3:uid="{92087FF4-E303-4B0F-A0BD-05E1DCF2E492}" name="DESCRIÇÃO" dataDxfId="97" dataCellStyle="Estilo 2"/>
    <tableColumn id="2" xr3:uid="{F6173F45-AB6B-4D46-A4CA-636F9D655747}" name="DATA" dataDxfId="96" dataCellStyle="Estilo 2"/>
    <tableColumn id="3" xr3:uid="{F02DFD77-454D-4114-B093-296835E8B3E0}" name="VALOR BRUTO" dataDxfId="95" dataCellStyle="Moeda"/>
    <tableColumn id="4" xr3:uid="{CF7C422A-7011-4F79-8D02-619DC74CF1F4}" name="DESCONTO" dataDxfId="94" dataCellStyle="Estilo 2"/>
    <tableColumn id="5" xr3:uid="{658A7DA3-517E-405D-B97F-7968112EE546}" name="FORMA DE PAGAMENTO" dataDxfId="93" dataCellStyle="Estilo 2"/>
    <tableColumn id="6" xr3:uid="{13555E28-2886-4EBA-A02E-629D49EB124E}" name="VALOR LÍQUIDO" dataDxfId="92" dataCellStyle="Moeda">
      <calculatedColumnFormula>Tabela1418[[#This Row],[VALOR BRUTO]]*(1-Tabela1418[[#This Row],[DESCONTO]])</calculatedColumnFormula>
    </tableColumn>
  </tableColumns>
  <tableStyleInfo name="TableStyleLight1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267C34A-5E77-412B-B64F-3C1BD8C4652B}" name="Tabela2519" displayName="Tabela2519" ref="I13:N19" totalsRowShown="0" headerRowDxfId="91" dataDxfId="89" headerRowBorderDxfId="90" tableBorderDxfId="88" totalsRowBorderDxfId="87" headerRowCellStyle="Estilo 2" dataCellStyle="Estilo 2">
  <autoFilter ref="I13:N19" xr:uid="{0267C34A-5E77-412B-B64F-3C1BD8C4652B}"/>
  <tableColumns count="6">
    <tableColumn id="6" xr3:uid="{BF75BBF3-D28F-43FA-8AD6-4B406A426DF9}" name="Cliente" dataDxfId="86" dataCellStyle="Estilo 2"/>
    <tableColumn id="1" xr3:uid="{2ED66FF8-85D4-4C04-B24A-48FCAFE11B8B}" name="DESCRIÇÃO" dataDxfId="85" dataCellStyle="Estilo 2"/>
    <tableColumn id="2" xr3:uid="{EA348F84-D543-4863-9801-A49A1D1D9B33}" name="DATA DE VENCIMENTO" dataDxfId="84" dataCellStyle="Estilo 2"/>
    <tableColumn id="3" xr3:uid="{EA3DFDCD-0441-4910-A8CE-1D0C66570EC4}" name="DATA DO PAGAMENTO" dataDxfId="83" dataCellStyle="Estilo 2"/>
    <tableColumn id="4" xr3:uid="{843087DE-E932-4980-94CB-7B22F6DBA2C3}" name="TIPO" dataDxfId="82" dataCellStyle="Estilo 2"/>
    <tableColumn id="5" xr3:uid="{5EE6AFF8-6F3E-4609-A268-846C07056FBD}" name="VALOR" dataDxfId="81" dataCellStyle="Moeda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9C9C4D0-5A90-461E-B36E-C1B407C00F14}" name="Tabela1420" displayName="Tabela1420" ref="A13:G19" totalsRowShown="0" headerRowDxfId="76" dataDxfId="74" headerRowBorderDxfId="75" tableBorderDxfId="73" totalsRowBorderDxfId="72" headerRowCellStyle="Estilo 2" dataCellStyle="Estilo 2">
  <autoFilter ref="A13:G19" xr:uid="{09C9C4D0-5A90-461E-B36E-C1B407C00F14}"/>
  <tableColumns count="7">
    <tableColumn id="19" xr3:uid="{BCCE20BD-5BDC-4AE2-B17B-4DB92FBF241B}" name="Cliente" dataDxfId="71" dataCellStyle="Estilo 2"/>
    <tableColumn id="1" xr3:uid="{831ADF79-73F3-4CF1-B431-C4E59363D03A}" name="DESCRIÇÃO" dataDxfId="70" dataCellStyle="Estilo 2"/>
    <tableColumn id="2" xr3:uid="{49905339-7B7C-45B0-8022-99AC0874449A}" name="DATA" dataDxfId="69" dataCellStyle="Estilo 2"/>
    <tableColumn id="3" xr3:uid="{B249DE93-4FFF-404B-A191-1AFA412423F4}" name="VALOR BRUTO" dataDxfId="68" dataCellStyle="Moeda"/>
    <tableColumn id="4" xr3:uid="{21EDE0DB-543F-4314-91E5-DC36B42F7F9A}" name="DESCONTO" dataDxfId="67" dataCellStyle="Estilo 2"/>
    <tableColumn id="5" xr3:uid="{B7FAB4D5-96C6-4013-ADC7-B51784B2B6E0}" name="FORMA DE PAGAMENTO" dataDxfId="66" dataCellStyle="Estilo 2"/>
    <tableColumn id="6" xr3:uid="{6AFE270A-D65E-4F83-BC57-96E72C6CDD68}" name="VALOR LÍQUIDO" dataDxfId="65" dataCellStyle="Moeda">
      <calculatedColumnFormula>Tabela1420[[#This Row],[VALOR BRUTO]]*(1-Tabela1420[[#This Row],[DESCONTO]])</calculatedColumnFormula>
    </tableColumn>
  </tableColumns>
  <tableStyleInfo name="TableStyleLight10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23CCAB2-5A0B-43FC-9D95-0C790B9E0A6D}" name="Tabela2521" displayName="Tabela2521" ref="I13:N19" totalsRowShown="0" headerRowDxfId="64" dataDxfId="62" headerRowBorderDxfId="63" tableBorderDxfId="61" totalsRowBorderDxfId="60" headerRowCellStyle="Estilo 2" dataCellStyle="Estilo 2">
  <autoFilter ref="I13:N19" xr:uid="{623CCAB2-5A0B-43FC-9D95-0C790B9E0A6D}"/>
  <tableColumns count="6">
    <tableColumn id="6" xr3:uid="{06EF0D30-35DD-471E-BCAF-CBF04CFF8536}" name="Cliente" dataDxfId="59" dataCellStyle="Estilo 2"/>
    <tableColumn id="1" xr3:uid="{48FC6B01-F5CB-48F5-9F09-59E5180DC538}" name="DESCRIÇÃO" dataDxfId="58" dataCellStyle="Estilo 2"/>
    <tableColumn id="2" xr3:uid="{524CB6EC-6309-4BE1-8111-EACB5B521182}" name="DATA DE VENCIMENTO" dataDxfId="57" dataCellStyle="Estilo 2"/>
    <tableColumn id="3" xr3:uid="{9A319217-19B0-4E66-B15B-4870C8430EEE}" name="DATA DO PAGAMENTO" dataDxfId="56" dataCellStyle="Estilo 2"/>
    <tableColumn id="4" xr3:uid="{2E9A9AB3-B573-44DB-B480-60A9A7B7FAE9}" name="TIPO" dataDxfId="55" dataCellStyle="Estilo 2"/>
    <tableColumn id="5" xr3:uid="{3912C7B6-C462-4284-A500-94678CC75DBC}" name="VALOR" dataDxfId="54" dataCellStyle="Moeda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939105-2817-4F20-A25A-93486ADB5521}" name="Tabela1422" displayName="Tabela1422" ref="A13:G19" totalsRowShown="0" headerRowDxfId="49" dataDxfId="47" headerRowBorderDxfId="48" tableBorderDxfId="46" totalsRowBorderDxfId="45" headerRowCellStyle="Estilo 2" dataCellStyle="Estilo 2">
  <autoFilter ref="A13:G19" xr:uid="{53939105-2817-4F20-A25A-93486ADB5521}"/>
  <tableColumns count="7">
    <tableColumn id="19" xr3:uid="{F977E1C7-C6F6-4A03-BAC2-B04736745668}" name="Cliente" dataDxfId="44" dataCellStyle="Estilo 2"/>
    <tableColumn id="1" xr3:uid="{7B48E90A-BDE5-49E5-94F0-8DEF025DBD07}" name="DESCRIÇÃO" dataDxfId="43" dataCellStyle="Estilo 2"/>
    <tableColumn id="2" xr3:uid="{BD4A6D01-51B5-463C-AB2A-5D32ED281156}" name="DATA" dataDxfId="42" dataCellStyle="Estilo 2"/>
    <tableColumn id="3" xr3:uid="{E137B8EE-5957-46CF-80C3-558FB15F5A16}" name="VALOR BRUTO" dataDxfId="41" dataCellStyle="Moeda"/>
    <tableColumn id="4" xr3:uid="{33D0FF3E-5809-4DEB-B3C0-796AD4F70A82}" name="DESCONTO" dataDxfId="40" dataCellStyle="Estilo 2"/>
    <tableColumn id="5" xr3:uid="{42FDDCFA-17D2-42BE-AF83-C6C0182AF172}" name="FORMA DE PAGAMENTO" dataDxfId="39" dataCellStyle="Estilo 2"/>
    <tableColumn id="6" xr3:uid="{B791A374-BE77-4CFF-A00D-C7480370D910}" name="VALOR LÍQUIDO" dataDxfId="38" dataCellStyle="Moeda">
      <calculatedColumnFormula>Tabela1422[[#This Row],[VALOR BRUTO]]*(1-Tabela1422[[#This Row],[DESCONTO]])</calculatedColumnFormula>
    </tableColumn>
  </tableColumns>
  <tableStyleInfo name="TableStyleLight10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A09A2D9-785A-454F-BD38-46F5D1C775BC}" name="Tabela2523" displayName="Tabela2523" ref="I13:N19" totalsRowShown="0" headerRowDxfId="37" dataDxfId="35" headerRowBorderDxfId="36" tableBorderDxfId="34" totalsRowBorderDxfId="33" headerRowCellStyle="Estilo 2" dataCellStyle="Estilo 2">
  <autoFilter ref="I13:N19" xr:uid="{BA09A2D9-785A-454F-BD38-46F5D1C775BC}"/>
  <tableColumns count="6">
    <tableColumn id="6" xr3:uid="{67F41BE7-32B0-43F5-AC97-0B8E2875C0BE}" name="Cliente" dataDxfId="32" dataCellStyle="Estilo 2"/>
    <tableColumn id="1" xr3:uid="{FD45D93B-AC75-4A44-80B9-7892EF41452A}" name="DESCRIÇÃO" dataDxfId="31" dataCellStyle="Estilo 2"/>
    <tableColumn id="2" xr3:uid="{1172F74A-9477-4D0A-A008-F7F207FCF249}" name="DATA DE VENCIMENTO" dataDxfId="30" dataCellStyle="Estilo 2"/>
    <tableColumn id="3" xr3:uid="{D3C15FA7-B704-46A9-B92E-6FD789EE7772}" name="DATA DO PAGAMENTO" dataDxfId="29" dataCellStyle="Estilo 2"/>
    <tableColumn id="4" xr3:uid="{735C5CD9-584A-4C70-9297-2D4522A0FCE9}" name="TIPO" dataDxfId="28" dataCellStyle="Estilo 2"/>
    <tableColumn id="5" xr3:uid="{9E7FF7E9-A443-4102-942F-6091B0BCCC8B}" name="VALOR" dataDxfId="27" dataCellStyle="Moeda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BA9B8B7-9868-45C2-B056-9013777A4501}" name="Tabela1424" displayName="Tabela1424" ref="A13:G19" totalsRowShown="0" headerRowDxfId="22" dataDxfId="20" headerRowBorderDxfId="21" tableBorderDxfId="19" totalsRowBorderDxfId="18" headerRowCellStyle="Estilo 2" dataCellStyle="Estilo 2">
  <autoFilter ref="A13:G19" xr:uid="{BBA9B8B7-9868-45C2-B056-9013777A4501}"/>
  <tableColumns count="7">
    <tableColumn id="19" xr3:uid="{4ECD163A-6B98-4D36-9152-80FE5DA21238}" name="Cliente" dataDxfId="17" dataCellStyle="Estilo 2"/>
    <tableColumn id="1" xr3:uid="{59CA5869-FC33-4271-8CB9-90B539858F4B}" name="DESCRIÇÃO" dataDxfId="16" dataCellStyle="Estilo 2"/>
    <tableColumn id="2" xr3:uid="{8937D038-047A-470B-B293-8E211B7C4577}" name="DATA" dataDxfId="15" dataCellStyle="Estilo 2"/>
    <tableColumn id="3" xr3:uid="{A697935B-FD04-4C34-9346-9EC76C414761}" name="VALOR BRUTO" dataDxfId="14" dataCellStyle="Moeda"/>
    <tableColumn id="4" xr3:uid="{DEC68D54-A8CB-4756-8DC5-A841DA1EA0C6}" name="DESCONTO" dataDxfId="13" dataCellStyle="Estilo 2"/>
    <tableColumn id="5" xr3:uid="{8D3C789A-E484-4962-949C-E6F78CE5AE89}" name="FORMA DE PAGAMENTO" dataDxfId="12" dataCellStyle="Estilo 2"/>
    <tableColumn id="6" xr3:uid="{14F1B94A-4BA0-4E72-8A8A-CBF9C621455D}" name="VALOR LÍQUIDO" dataDxfId="11" dataCellStyle="Moeda">
      <calculatedColumnFormula>Tabela1424[[#This Row],[VALOR BRUTO]]*(1-Tabela1424[[#This Row],[DESCONTO]])</calculatedColumnFormula>
    </tableColumn>
  </tableColumns>
  <tableStyleInfo name="TableStyleLight10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73562D3-6EAC-4F3A-8C19-29CB2CFC6405}" name="Tabela2525" displayName="Tabela2525" ref="I13:N19" totalsRowShown="0" headerRowDxfId="10" dataDxfId="8" headerRowBorderDxfId="9" tableBorderDxfId="7" totalsRowBorderDxfId="6" headerRowCellStyle="Estilo 2" dataCellStyle="Estilo 2">
  <autoFilter ref="I13:N19" xr:uid="{B73562D3-6EAC-4F3A-8C19-29CB2CFC6405}"/>
  <tableColumns count="6">
    <tableColumn id="6" xr3:uid="{26400FE0-A7D1-4C41-92B3-3F302B24A82C}" name="Cliente" dataDxfId="5" dataCellStyle="Estilo 2"/>
    <tableColumn id="1" xr3:uid="{7EAC7202-2552-4841-BFFF-D477CEA888BC}" name="DESCRIÇÃO" dataDxfId="4" dataCellStyle="Estilo 2"/>
    <tableColumn id="2" xr3:uid="{31DB5771-B2D3-4B7A-B88F-B476F9020D91}" name="DATA DE VENCIMENTO" dataDxfId="3" dataCellStyle="Estilo 2"/>
    <tableColumn id="3" xr3:uid="{D77583F2-8478-46AE-A3FC-0F5F2D9E30F1}" name="DATA DO PAGAMENTO" dataDxfId="2" dataCellStyle="Estilo 2"/>
    <tableColumn id="4" xr3:uid="{AE8C83D3-D3D2-43B8-995F-B842EA9C6CBB}" name="TIPO" dataDxfId="1" dataCellStyle="Estilo 2"/>
    <tableColumn id="5" xr3:uid="{F4A54330-DEDF-4221-969B-7F918DE1DE02}" name="VALOR" dataDxfId="0" dataCellStyle="Moed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35ADF-FB57-4E4D-9EBA-DA880FAEEBB2}">
  <sheetPr codeName="Planilha1"/>
  <dimension ref="A1:U29"/>
  <sheetViews>
    <sheetView showGridLines="0" showRowColHeaders="0" tabSelected="1" topLeftCell="A7" zoomScale="110" zoomScaleNormal="110" workbookViewId="0"/>
  </sheetViews>
  <sheetFormatPr defaultRowHeight="15"/>
  <sheetData>
    <row r="1" spans="1:2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spans="1:2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5"/>
      <c r="U4" s="3"/>
    </row>
    <row r="5" spans="1:2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1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  <row r="8" spans="1:21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</row>
    <row r="9" spans="1:21">
      <c r="A9" s="3"/>
      <c r="B9" s="3"/>
      <c r="C9" s="3"/>
      <c r="D9" s="3"/>
      <c r="E9" s="3"/>
      <c r="F9" s="3"/>
      <c r="G9" s="3"/>
      <c r="H9" s="3"/>
      <c r="I9" s="4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</row>
    <row r="10" spans="1:2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1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1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1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1:2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1:2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1:2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1:2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1:2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F0B73-0C01-4CFB-B8AE-192BBD62855F}">
  <sheetPr codeName="Planilha2"/>
  <dimension ref="A1:S38"/>
  <sheetViews>
    <sheetView showGridLines="0" showRowColHeaders="0" topLeftCell="C1" zoomScale="80" zoomScaleNormal="80" workbookViewId="0">
      <selection activeCell="F8" sqref="F8"/>
    </sheetView>
  </sheetViews>
  <sheetFormatPr defaultRowHeight="15"/>
  <cols>
    <col min="2" max="2" width="12.140625" bestFit="1" customWidth="1"/>
    <col min="3" max="3" width="26.42578125" customWidth="1"/>
    <col min="4" max="15" width="15.7109375" customWidth="1"/>
  </cols>
  <sheetData>
    <row r="1" spans="1:19" ht="106.5" customHeight="1">
      <c r="A1" s="96"/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6"/>
      <c r="S1" s="6"/>
    </row>
    <row r="2" spans="1:19" ht="15" customHeight="1">
      <c r="R2" s="6"/>
      <c r="S2" s="6"/>
    </row>
    <row r="3" spans="1:19" ht="15" customHeight="1">
      <c r="R3" s="6"/>
      <c r="S3" s="6"/>
    </row>
    <row r="4" spans="1:19" ht="31.5" customHeight="1">
      <c r="C4" s="46" t="s">
        <v>23</v>
      </c>
      <c r="D4" s="47" t="s">
        <v>24</v>
      </c>
      <c r="E4" s="47" t="s">
        <v>25</v>
      </c>
      <c r="F4" s="47" t="s">
        <v>26</v>
      </c>
      <c r="G4" s="47" t="s">
        <v>27</v>
      </c>
      <c r="H4" s="47" t="s">
        <v>28</v>
      </c>
      <c r="I4" s="47" t="s">
        <v>29</v>
      </c>
      <c r="J4" s="47" t="s">
        <v>30</v>
      </c>
      <c r="K4" s="47" t="s">
        <v>31</v>
      </c>
      <c r="L4" s="47" t="s">
        <v>32</v>
      </c>
      <c r="M4" s="47" t="s">
        <v>33</v>
      </c>
      <c r="N4" s="47" t="s">
        <v>34</v>
      </c>
      <c r="O4" s="47" t="s">
        <v>35</v>
      </c>
      <c r="R4" s="6"/>
      <c r="S4" s="6"/>
    </row>
    <row r="5" spans="1:19" ht="30" customHeight="1">
      <c r="C5" s="48" t="s">
        <v>38</v>
      </c>
      <c r="D5" s="53">
        <f>JAN!$G$8</f>
        <v>0</v>
      </c>
      <c r="E5" s="53">
        <f>FEV!$G$8</f>
        <v>0</v>
      </c>
      <c r="F5" s="53">
        <f>MAR!$G$8</f>
        <v>0</v>
      </c>
      <c r="G5" s="53">
        <f>ABR!$G$8</f>
        <v>0</v>
      </c>
      <c r="H5" s="53">
        <f>MAI!$G$8</f>
        <v>0</v>
      </c>
      <c r="I5" s="53">
        <f>JUN!$G$8</f>
        <v>0</v>
      </c>
      <c r="J5" s="53">
        <f>JUL!$G$8</f>
        <v>0</v>
      </c>
      <c r="K5" s="53">
        <f>AGO!$G$8</f>
        <v>0</v>
      </c>
      <c r="L5" s="53">
        <f>SET!$G$8</f>
        <v>0</v>
      </c>
      <c r="M5" s="53">
        <f>OUT!$G$8</f>
        <v>0</v>
      </c>
      <c r="N5" s="53">
        <f>NOV!$G$8</f>
        <v>0</v>
      </c>
      <c r="O5" s="53">
        <f>DEZ!$G$8</f>
        <v>0</v>
      </c>
      <c r="R5" s="6"/>
      <c r="S5" s="6"/>
    </row>
    <row r="6" spans="1:19" ht="30" customHeight="1">
      <c r="C6" s="48" t="s">
        <v>37</v>
      </c>
      <c r="D6" s="53">
        <f>JAN!$M$25</f>
        <v>0</v>
      </c>
      <c r="E6" s="53">
        <f>FEV!$M$25</f>
        <v>0</v>
      </c>
      <c r="F6" s="53">
        <f>MAR!$M$25</f>
        <v>0</v>
      </c>
      <c r="G6" s="53">
        <f>ABR!$M$25</f>
        <v>0</v>
      </c>
      <c r="H6" s="53">
        <f>MAI!$M$25</f>
        <v>0</v>
      </c>
      <c r="I6" s="53">
        <f>JUN!$M$25</f>
        <v>0</v>
      </c>
      <c r="J6" s="53">
        <f>JUL!$M$25</f>
        <v>0</v>
      </c>
      <c r="K6" s="53">
        <f>AGO!$M$25</f>
        <v>0</v>
      </c>
      <c r="L6" s="53">
        <f>SET!$M$25</f>
        <v>0</v>
      </c>
      <c r="M6" s="53">
        <f>OUT!$M$25</f>
        <v>0</v>
      </c>
      <c r="N6" s="53">
        <f>NOV!$M$25</f>
        <v>0</v>
      </c>
      <c r="O6" s="53">
        <f>DEZ!$M$25</f>
        <v>0</v>
      </c>
      <c r="R6" s="6"/>
      <c r="S6" s="6"/>
    </row>
    <row r="7" spans="1:19" ht="30" customHeight="1">
      <c r="C7" s="48" t="s">
        <v>36</v>
      </c>
      <c r="D7" s="53">
        <f>JAN!$M$22</f>
        <v>0</v>
      </c>
      <c r="E7" s="53">
        <f>FEV!$M$22</f>
        <v>0</v>
      </c>
      <c r="F7" s="53">
        <f>MAR!$M$22</f>
        <v>0</v>
      </c>
      <c r="G7" s="53">
        <f>ABR!$M$22</f>
        <v>0</v>
      </c>
      <c r="H7" s="53">
        <f>MAI!$M$22</f>
        <v>0</v>
      </c>
      <c r="I7" s="53">
        <f>JUN!$M$22</f>
        <v>0</v>
      </c>
      <c r="J7" s="53">
        <f>JUL!$M$22</f>
        <v>0</v>
      </c>
      <c r="K7" s="53">
        <f>AGO!$M$22</f>
        <v>0</v>
      </c>
      <c r="L7" s="53">
        <f>SET!$M$22</f>
        <v>0</v>
      </c>
      <c r="M7" s="53">
        <f>OUT!$M$22</f>
        <v>0</v>
      </c>
      <c r="N7" s="53">
        <f>NOV!$M$22</f>
        <v>0</v>
      </c>
      <c r="O7" s="53">
        <f>DEZ!$M$22</f>
        <v>0</v>
      </c>
      <c r="R7" s="6"/>
      <c r="S7" s="6"/>
    </row>
    <row r="8" spans="1:19" ht="30" customHeight="1">
      <c r="C8" s="48" t="s">
        <v>39</v>
      </c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</row>
    <row r="9" spans="1:19" ht="30" customHeight="1">
      <c r="C9" s="48" t="s">
        <v>40</v>
      </c>
      <c r="D9" s="53">
        <f>D5-(D6+D7)</f>
        <v>0</v>
      </c>
      <c r="E9" s="53">
        <f t="shared" ref="E9:O9" si="0">E5-(E6+E7)</f>
        <v>0</v>
      </c>
      <c r="F9" s="53">
        <f t="shared" si="0"/>
        <v>0</v>
      </c>
      <c r="G9" s="53">
        <f t="shared" si="0"/>
        <v>0</v>
      </c>
      <c r="H9" s="53">
        <f t="shared" si="0"/>
        <v>0</v>
      </c>
      <c r="I9" s="53">
        <f t="shared" si="0"/>
        <v>0</v>
      </c>
      <c r="J9" s="53">
        <f t="shared" si="0"/>
        <v>0</v>
      </c>
      <c r="K9" s="53">
        <f t="shared" si="0"/>
        <v>0</v>
      </c>
      <c r="L9" s="53">
        <f t="shared" si="0"/>
        <v>0</v>
      </c>
      <c r="M9" s="53">
        <f t="shared" si="0"/>
        <v>0</v>
      </c>
      <c r="N9" s="53">
        <f t="shared" si="0"/>
        <v>0</v>
      </c>
      <c r="O9" s="53">
        <f t="shared" si="0"/>
        <v>0</v>
      </c>
    </row>
    <row r="10" spans="1:19">
      <c r="B10" s="45"/>
      <c r="C10" s="45"/>
    </row>
    <row r="12" spans="1:19" ht="15" customHeight="1"/>
    <row r="13" spans="1:19" ht="30" customHeight="1">
      <c r="E13" s="92" t="s">
        <v>41</v>
      </c>
      <c r="F13" s="93"/>
      <c r="I13" s="92" t="s">
        <v>42</v>
      </c>
      <c r="J13" s="93"/>
      <c r="M13" s="92" t="s">
        <v>43</v>
      </c>
      <c r="N13" s="93"/>
    </row>
    <row r="14" spans="1:19" ht="30" customHeight="1">
      <c r="E14" s="94">
        <f>SUM(D5:O5)</f>
        <v>0</v>
      </c>
      <c r="F14" s="95"/>
      <c r="I14" s="94">
        <f>E14-(SUM(D6:O6)+SUM(D7:O7))</f>
        <v>0</v>
      </c>
      <c r="J14" s="95"/>
      <c r="M14" s="97">
        <f>SUM(D8:O8)</f>
        <v>0</v>
      </c>
      <c r="N14" s="98"/>
    </row>
    <row r="15" spans="1:19" ht="13.5" customHeight="1"/>
    <row r="16" spans="1:19" ht="15" customHeight="1"/>
    <row r="18" spans="2:13" ht="15" customHeight="1"/>
    <row r="20" spans="2:13" ht="15" customHeight="1">
      <c r="B20" s="52"/>
      <c r="C20" s="52"/>
      <c r="F20" s="54"/>
    </row>
    <row r="21" spans="2:13">
      <c r="B21" s="52"/>
    </row>
    <row r="22" spans="2:13">
      <c r="B22" s="52"/>
    </row>
    <row r="26" spans="2:13" ht="15" customHeight="1"/>
    <row r="27" spans="2:13" ht="15" customHeight="1"/>
    <row r="28" spans="2:13" ht="15" customHeight="1">
      <c r="F28" s="7"/>
    </row>
    <row r="29" spans="2:13">
      <c r="F29" s="7"/>
    </row>
    <row r="32" spans="2:13" ht="15.75">
      <c r="L32" s="8"/>
      <c r="M32" s="8"/>
    </row>
    <row r="33" spans="10:13" ht="15.75">
      <c r="L33" s="8"/>
      <c r="M33" s="8"/>
    </row>
    <row r="34" spans="10:13">
      <c r="L34" s="7"/>
      <c r="M34" s="7"/>
    </row>
    <row r="35" spans="10:13" ht="15.75">
      <c r="J35" s="8"/>
      <c r="K35" s="8"/>
      <c r="L35" s="7"/>
      <c r="M35" s="7"/>
    </row>
    <row r="36" spans="10:13" ht="15.75">
      <c r="J36" s="8"/>
      <c r="K36" s="8"/>
    </row>
    <row r="37" spans="10:13">
      <c r="J37" s="7"/>
      <c r="K37" s="7"/>
    </row>
    <row r="38" spans="10:13">
      <c r="J38" s="7"/>
      <c r="K38" s="7"/>
    </row>
  </sheetData>
  <sheetProtection sheet="1" objects="1" scenarios="1" selectLockedCells="1"/>
  <mergeCells count="7">
    <mergeCell ref="I13:J13"/>
    <mergeCell ref="E13:F13"/>
    <mergeCell ref="I14:J14"/>
    <mergeCell ref="E14:F14"/>
    <mergeCell ref="A1:Q1"/>
    <mergeCell ref="M14:N14"/>
    <mergeCell ref="M13:N13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6142D-C2CF-46B4-8A19-220B6E4B102F}">
  <sheetPr codeName="Planilha3"/>
  <dimension ref="A1:AZ37"/>
  <sheetViews>
    <sheetView showGridLines="0" showRowColHeaders="0" zoomScale="64" zoomScaleNormal="64" workbookViewId="0">
      <pane ySplit="1" topLeftCell="A22" activePane="bottomLeft" state="frozen"/>
      <selection pane="bottomLeft" activeCell="N16" sqref="N16"/>
    </sheetView>
  </sheetViews>
  <sheetFormatPr defaultRowHeight="15"/>
  <cols>
    <col min="1" max="1" width="27.42578125" style="13" customWidth="1"/>
    <col min="2" max="2" width="45.7109375" style="13" customWidth="1"/>
    <col min="3" max="3" width="16.85546875" style="13" customWidth="1"/>
    <col min="4" max="4" width="18" style="13" customWidth="1"/>
    <col min="5" max="5" width="22.85546875" style="13" customWidth="1"/>
    <col min="6" max="6" width="24.7109375" style="13" customWidth="1"/>
    <col min="7" max="7" width="18.7109375" style="13" customWidth="1"/>
    <col min="8" max="8" width="16.42578125" style="13" customWidth="1"/>
    <col min="9" max="9" width="19.42578125" style="13" customWidth="1"/>
    <col min="10" max="10" width="24.7109375" style="13" customWidth="1"/>
    <col min="11" max="11" width="19.7109375" style="13" customWidth="1"/>
    <col min="12" max="12" width="18.140625" style="13" customWidth="1"/>
    <col min="13" max="13" width="15" style="13" customWidth="1"/>
    <col min="14" max="14" width="14.7109375" style="13" customWidth="1"/>
    <col min="15" max="15" width="21.5703125" style="13" customWidth="1"/>
    <col min="16" max="16384" width="9.140625" style="13"/>
  </cols>
  <sheetData>
    <row r="1" spans="1:52" ht="108" customHeight="1">
      <c r="A1" s="104" t="s">
        <v>60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42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Z1"/>
    </row>
    <row r="2" spans="1:52" ht="15" customHeigh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Z2"/>
    </row>
    <row r="3" spans="1:52" ht="15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AZ3"/>
    </row>
    <row r="4" spans="1:52" ht="15" customHeight="1" thickBo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</row>
    <row r="5" spans="1:52" ht="15" customHeight="1" thickBot="1">
      <c r="A5"/>
      <c r="B5" s="32" t="s">
        <v>0</v>
      </c>
      <c r="C5" s="109">
        <v>0</v>
      </c>
      <c r="D5" s="110"/>
      <c r="E5"/>
      <c r="F5" s="99" t="s">
        <v>2</v>
      </c>
      <c r="G5" s="101"/>
      <c r="H5"/>
      <c r="I5" s="99" t="s">
        <v>62</v>
      </c>
      <c r="J5" s="100"/>
      <c r="K5" s="101"/>
      <c r="L5"/>
      <c r="M5"/>
      <c r="N5"/>
      <c r="O5"/>
    </row>
    <row r="6" spans="1:52" ht="15" customHeight="1" thickBot="1">
      <c r="A6"/>
      <c r="B6" s="31" t="s">
        <v>1</v>
      </c>
      <c r="C6" s="102">
        <f>G9</f>
        <v>0</v>
      </c>
      <c r="D6" s="103"/>
      <c r="E6"/>
      <c r="F6" s="1" t="s">
        <v>0</v>
      </c>
      <c r="G6" s="14"/>
      <c r="H6"/>
      <c r="I6" s="9" t="s">
        <v>64</v>
      </c>
      <c r="J6" s="74">
        <v>0.5</v>
      </c>
      <c r="K6" s="2"/>
      <c r="L6"/>
      <c r="M6"/>
      <c r="N6"/>
      <c r="O6"/>
    </row>
    <row r="7" spans="1:52" ht="15" customHeight="1">
      <c r="A7" s="56"/>
      <c r="E7"/>
      <c r="F7" s="1" t="s">
        <v>3</v>
      </c>
      <c r="G7" s="14">
        <f>M28</f>
        <v>0</v>
      </c>
      <c r="H7"/>
      <c r="I7" s="9" t="s">
        <v>6</v>
      </c>
      <c r="J7" s="74">
        <v>0.5</v>
      </c>
      <c r="K7" s="2">
        <f t="shared" ref="K7:K8" si="0">IF($G$10&lt;=0,0,($G$10*J7))</f>
        <v>0</v>
      </c>
      <c r="L7"/>
      <c r="M7"/>
      <c r="N7"/>
      <c r="O7"/>
    </row>
    <row r="8" spans="1:52">
      <c r="F8" s="1" t="s">
        <v>4</v>
      </c>
      <c r="G8" s="14">
        <f>F23+E37</f>
        <v>0</v>
      </c>
      <c r="I8" s="9" t="s">
        <v>21</v>
      </c>
      <c r="J8" s="74">
        <v>0</v>
      </c>
      <c r="K8" s="2">
        <f t="shared" si="0"/>
        <v>0</v>
      </c>
    </row>
    <row r="9" spans="1:52">
      <c r="F9" s="1" t="s">
        <v>1</v>
      </c>
      <c r="G9" s="14">
        <f>(G6+G8)-G7</f>
        <v>0</v>
      </c>
    </row>
    <row r="10" spans="1:52">
      <c r="F10" s="1" t="s">
        <v>63</v>
      </c>
      <c r="G10" s="14">
        <f>G8-G7</f>
        <v>0</v>
      </c>
      <c r="L10" s="15"/>
      <c r="O10" s="108"/>
      <c r="P10" s="108"/>
      <c r="Q10" s="108"/>
    </row>
    <row r="11" spans="1:52">
      <c r="P11" s="108"/>
      <c r="Q11" s="108"/>
    </row>
    <row r="12" spans="1:52" ht="48.75" customHeight="1">
      <c r="A12" s="111" t="s">
        <v>4</v>
      </c>
      <c r="B12" s="111"/>
      <c r="C12" s="111"/>
      <c r="D12" s="111"/>
      <c r="E12" s="111"/>
      <c r="F12" s="111"/>
      <c r="G12" s="111"/>
      <c r="I12" s="111" t="s">
        <v>17</v>
      </c>
      <c r="J12" s="111"/>
      <c r="K12" s="111"/>
      <c r="L12" s="111"/>
      <c r="M12" s="111"/>
      <c r="N12" s="111"/>
    </row>
    <row r="13" spans="1:52" ht="31.5" customHeight="1" thickBot="1">
      <c r="A13" s="17" t="s">
        <v>61</v>
      </c>
      <c r="B13" s="16" t="s">
        <v>7</v>
      </c>
      <c r="C13" s="17" t="s">
        <v>8</v>
      </c>
      <c r="D13" s="17" t="s">
        <v>9</v>
      </c>
      <c r="E13" s="17" t="s">
        <v>12</v>
      </c>
      <c r="F13" s="18" t="s">
        <v>11</v>
      </c>
      <c r="G13" s="19" t="s">
        <v>10</v>
      </c>
      <c r="I13" s="17" t="s">
        <v>61</v>
      </c>
      <c r="J13" s="16" t="s">
        <v>7</v>
      </c>
      <c r="K13" s="18" t="s">
        <v>13</v>
      </c>
      <c r="L13" s="18" t="s">
        <v>14</v>
      </c>
      <c r="M13" s="17" t="s">
        <v>16</v>
      </c>
      <c r="N13" s="20" t="s">
        <v>15</v>
      </c>
      <c r="O13"/>
    </row>
    <row r="14" spans="1:52" ht="15.75" thickBot="1">
      <c r="A14" s="75"/>
      <c r="B14" s="76"/>
      <c r="C14" s="61"/>
      <c r="D14" s="62"/>
      <c r="E14" s="63"/>
      <c r="F14" s="64" t="s">
        <v>55</v>
      </c>
      <c r="G14" s="21">
        <f>Tabela1[[#This Row],[VALOR BRUTO]]*(1-Tabela1[[#This Row],[DESCONTO]])</f>
        <v>0</v>
      </c>
      <c r="I14" s="66"/>
      <c r="J14" s="67"/>
      <c r="K14" s="69"/>
      <c r="L14" s="69"/>
      <c r="M14" s="70"/>
      <c r="N14" s="71"/>
      <c r="O14"/>
    </row>
    <row r="15" spans="1:52" ht="15" customHeight="1" thickBot="1">
      <c r="A15" s="75"/>
      <c r="B15" s="76"/>
      <c r="C15" s="61"/>
      <c r="D15" s="62"/>
      <c r="E15" s="63"/>
      <c r="F15" s="64" t="s">
        <v>55</v>
      </c>
      <c r="G15" s="21">
        <f>Tabela1[[#This Row],[VALOR BRUTO]]*(1-Tabela1[[#This Row],[DESCONTO]])</f>
        <v>0</v>
      </c>
      <c r="I15" s="67"/>
      <c r="J15" s="67"/>
      <c r="K15" s="69"/>
      <c r="L15" s="69"/>
      <c r="M15" s="70"/>
      <c r="N15" s="71"/>
    </row>
    <row r="16" spans="1:52" ht="15" customHeight="1" thickBot="1">
      <c r="A16" s="75"/>
      <c r="B16" s="76"/>
      <c r="C16" s="87"/>
      <c r="D16" s="88"/>
      <c r="E16" s="63"/>
      <c r="F16" s="64"/>
      <c r="G16" s="89">
        <f>Tabela1[[#This Row],[VALOR BRUTO]]*(1-Tabela1[[#This Row],[DESCONTO]])</f>
        <v>0</v>
      </c>
      <c r="I16" s="67"/>
      <c r="J16" s="67"/>
      <c r="K16" s="69"/>
      <c r="L16" s="69"/>
      <c r="M16" s="70"/>
      <c r="N16" s="71"/>
    </row>
    <row r="17" spans="1:19" ht="15" customHeight="1" thickBot="1">
      <c r="A17" s="75"/>
      <c r="B17" s="76"/>
      <c r="C17" s="87"/>
      <c r="D17" s="88"/>
      <c r="E17" s="63"/>
      <c r="F17" s="64"/>
      <c r="G17" s="89">
        <f>Tabela1[[#This Row],[VALOR BRUTO]]*(1-Tabela1[[#This Row],[DESCONTO]])</f>
        <v>0</v>
      </c>
      <c r="H17" s="15"/>
      <c r="I17" s="67"/>
      <c r="J17" s="67"/>
      <c r="K17" s="69"/>
      <c r="L17" s="69"/>
      <c r="M17" s="70"/>
      <c r="N17" s="71"/>
      <c r="O17" s="106"/>
      <c r="P17" s="107"/>
      <c r="Q17" s="107"/>
    </row>
    <row r="18" spans="1:19" ht="18" customHeight="1" thickBot="1">
      <c r="A18" s="75"/>
      <c r="B18" s="76"/>
      <c r="C18" s="61"/>
      <c r="D18" s="62"/>
      <c r="E18" s="63"/>
      <c r="F18" s="64"/>
      <c r="G18" s="21">
        <f>Tabela1[[#This Row],[VALOR BRUTO]]*(1-Tabela1[[#This Row],[DESCONTO]])</f>
        <v>0</v>
      </c>
      <c r="I18" s="67"/>
      <c r="J18" s="67"/>
      <c r="K18" s="69"/>
      <c r="L18" s="69"/>
      <c r="M18" s="70"/>
      <c r="N18" s="71"/>
      <c r="Q18" s="10"/>
      <c r="R18" s="11"/>
      <c r="S18" s="12"/>
    </row>
    <row r="19" spans="1:19" ht="15.75" thickBot="1">
      <c r="A19" s="75"/>
      <c r="B19" s="76"/>
      <c r="C19" s="61"/>
      <c r="D19" s="62"/>
      <c r="E19" s="63"/>
      <c r="F19" s="64"/>
      <c r="G19" s="21">
        <f>Tabela1[[#This Row],[VALOR BRUTO]]*(1-Tabela1[[#This Row],[DESCONTO]])</f>
        <v>0</v>
      </c>
      <c r="I19" s="68"/>
      <c r="J19" s="67"/>
      <c r="K19" s="69"/>
      <c r="L19" s="69"/>
      <c r="M19" s="70"/>
      <c r="N19" s="71"/>
      <c r="Q19" s="10"/>
      <c r="R19" s="11"/>
      <c r="S19" s="12"/>
    </row>
    <row r="20" spans="1:19" ht="15.75" thickBot="1">
      <c r="A20" s="75"/>
      <c r="B20" s="58"/>
      <c r="C20" s="61"/>
      <c r="D20" s="62"/>
      <c r="E20" s="63"/>
      <c r="F20" s="64"/>
      <c r="G20" s="21">
        <f>Tabela1[[#This Row],[VALOR BRUTO]]*(1-Tabela1[[#This Row],[DESCONTO]])</f>
        <v>0</v>
      </c>
      <c r="H20" s="83"/>
      <c r="I20" s="84"/>
      <c r="J20" s="84"/>
      <c r="K20" s="85"/>
      <c r="L20" s="85"/>
      <c r="M20" s="86"/>
      <c r="N20" s="79"/>
      <c r="Q20" s="10"/>
      <c r="R20" s="11"/>
      <c r="S20" s="12"/>
    </row>
    <row r="21" spans="1:19">
      <c r="A21" s="77"/>
      <c r="B21" s="77"/>
      <c r="C21" s="78"/>
      <c r="D21" s="79"/>
      <c r="E21" s="80"/>
      <c r="F21" s="81"/>
      <c r="G21" s="82"/>
    </row>
    <row r="22" spans="1:19" ht="31.5" customHeight="1" thickBot="1">
      <c r="A22" s="22"/>
      <c r="B22" s="23"/>
      <c r="C22" s="24"/>
      <c r="D22" s="25"/>
      <c r="E22" s="22"/>
      <c r="F22" s="24"/>
      <c r="I22" s="29" t="s">
        <v>19</v>
      </c>
      <c r="J22" s="30"/>
      <c r="K22" s="30"/>
      <c r="L22" s="36"/>
      <c r="M22" s="114">
        <f>SUMIF(Tabela2[TIPO],"FIXA",Tabela2[VALOR])</f>
        <v>0</v>
      </c>
      <c r="N22" s="114"/>
    </row>
    <row r="23" spans="1:19" ht="32.25" thickTop="1" thickBot="1">
      <c r="A23" s="29" t="s">
        <v>59</v>
      </c>
      <c r="B23" s="30"/>
      <c r="C23" s="30"/>
      <c r="D23" s="30"/>
      <c r="E23" s="40"/>
      <c r="F23" s="112">
        <f>SUMIF(Tabela1[FORMA DE PAGAMENTO],Referencias!A1,Tabela1[VALOR LÍQUIDO])+SUMIF(Tabela1[FORMA DE PAGAMENTO],Referencias!A2,Tabela1[VALOR LÍQUIDO])+SUMIF(Tabela1[FORMA DE PAGAMENTO],Referencias!A9,Tabela1[VALOR LÍQUIDO])+SUMIF(Tabela1[FORMA DE PAGAMENTO],Referencias!A10,Tabela1[VALOR LÍQUIDO])</f>
        <v>0</v>
      </c>
      <c r="G23" s="112"/>
      <c r="H23" s="26"/>
    </row>
    <row r="24" spans="1:19" ht="15.75" thickTop="1"/>
    <row r="25" spans="1:19" ht="33" thickBot="1">
      <c r="I25" s="29" t="s">
        <v>20</v>
      </c>
      <c r="J25" s="30"/>
      <c r="K25" s="30"/>
      <c r="L25" s="36"/>
      <c r="M25" s="114">
        <f>SUMIF(Tabela2[TIPO],"VARIÁVEL",Tabela2[VALOR])</f>
        <v>0</v>
      </c>
      <c r="N25" s="114"/>
    </row>
    <row r="26" spans="1:19" ht="31.5" thickTop="1" thickBot="1">
      <c r="A26" s="39" t="s">
        <v>54</v>
      </c>
      <c r="B26" s="30"/>
      <c r="C26" s="30"/>
      <c r="D26" s="30"/>
      <c r="E26" s="40"/>
      <c r="F26" s="114">
        <f>SUMIF(Tabela1[FORMA DE PAGAMENTO],Referencias!A3,Tabela1[VALOR LÍQUIDO])+SUMIF(Tabela1[FORMA DE PAGAMENTO],Referencias!A4,Tabela1[VALOR LÍQUIDO])+SUMIF(Tabela1[FORMA DE PAGAMENTO],Referencias!A5,Tabela1[VALOR LÍQUIDO])+SUMIF(Tabela1[FORMA DE PAGAMENTO],Referencias!A6,Tabela1[VALOR LÍQUIDO])+SUMIF(Tabela1[FORMA DE PAGAMENTO],Referencias!A7,Tabela1[VALOR LÍQUIDO])+SUMIF(Tabela1[FORMA DE PAGAMENTO],Referencias!A8,Tabela1[VALOR LÍQUIDO])</f>
        <v>0</v>
      </c>
      <c r="G26" s="114"/>
    </row>
    <row r="27" spans="1:19" ht="15.75" thickTop="1"/>
    <row r="28" spans="1:19" ht="31.5" thickBot="1">
      <c r="I28" s="29" t="s">
        <v>22</v>
      </c>
      <c r="J28" s="30"/>
      <c r="K28" s="30"/>
      <c r="L28" s="36"/>
      <c r="M28" s="114">
        <f>SUM(Tabela2[VALOR])</f>
        <v>0</v>
      </c>
      <c r="N28" s="114"/>
    </row>
    <row r="29" spans="1:19" ht="27" thickTop="1">
      <c r="A29" s="113" t="s">
        <v>48</v>
      </c>
      <c r="B29" s="113"/>
      <c r="C29" s="113"/>
      <c r="D29" s="113"/>
      <c r="E29" s="113"/>
    </row>
    <row r="30" spans="1:19" ht="23.25" customHeight="1">
      <c r="A30" s="35" t="s">
        <v>44</v>
      </c>
      <c r="B30" s="35" t="s">
        <v>9</v>
      </c>
      <c r="C30" s="35" t="s">
        <v>49</v>
      </c>
      <c r="D30" s="35" t="s">
        <v>50</v>
      </c>
      <c r="E30" s="35" t="s">
        <v>10</v>
      </c>
      <c r="F30" s="33"/>
    </row>
    <row r="31" spans="1:19" ht="26.25">
      <c r="A31" s="43" t="s">
        <v>45</v>
      </c>
      <c r="B31" s="44">
        <f>SUMIF(Tabela1[FORMA DE PAGAMENTO],Referencias!A3,Tabela1[VALOR LÍQUIDO])</f>
        <v>0</v>
      </c>
      <c r="C31" s="72">
        <v>0.04</v>
      </c>
      <c r="D31" s="44">
        <f>B31*C31</f>
        <v>0</v>
      </c>
      <c r="E31" s="44">
        <f>B31-D31</f>
        <v>0</v>
      </c>
      <c r="F31" s="33"/>
    </row>
    <row r="32" spans="1:19" ht="26.25">
      <c r="A32" s="43" t="s">
        <v>46</v>
      </c>
      <c r="B32" s="44">
        <f>SUMIF(Tabela1[FORMA DE PAGAMENTO],Referencias!A4,Tabela1[VALOR LÍQUIDO])</f>
        <v>0</v>
      </c>
      <c r="C32" s="72">
        <v>0.04</v>
      </c>
      <c r="D32" s="44">
        <f t="shared" ref="D32:D36" si="1">B32*C32</f>
        <v>0</v>
      </c>
      <c r="E32" s="44">
        <f t="shared" ref="E32:E36" si="2">B32-D32</f>
        <v>0</v>
      </c>
      <c r="F32" s="33"/>
    </row>
    <row r="33" spans="1:6" ht="18.75">
      <c r="A33" s="43" t="s">
        <v>47</v>
      </c>
      <c r="B33" s="44">
        <f>SUMIF(Tabela1[FORMA DE PAGAMENTO],Referencias!A5,Tabela1[VALOR LÍQUIDO])</f>
        <v>0</v>
      </c>
      <c r="C33" s="72">
        <v>0.04</v>
      </c>
      <c r="D33" s="44">
        <f t="shared" si="1"/>
        <v>0</v>
      </c>
      <c r="E33" s="44">
        <f t="shared" si="2"/>
        <v>0</v>
      </c>
      <c r="F33" s="34"/>
    </row>
    <row r="34" spans="1:6" ht="15.75" customHeight="1">
      <c r="A34" s="43" t="s">
        <v>51</v>
      </c>
      <c r="B34" s="44">
        <f>SUMIF(Tabela1[FORMA DE PAGAMENTO],Referencias!A6,Tabela1[VALOR LÍQUIDO])</f>
        <v>0</v>
      </c>
      <c r="C34" s="72">
        <v>0.04</v>
      </c>
      <c r="D34" s="44">
        <f t="shared" si="1"/>
        <v>0</v>
      </c>
      <c r="E34" s="44">
        <f t="shared" si="2"/>
        <v>0</v>
      </c>
    </row>
    <row r="35" spans="1:6" ht="15" customHeight="1">
      <c r="A35" s="43" t="s">
        <v>52</v>
      </c>
      <c r="B35" s="44">
        <f>SUMIF(Tabela1[FORMA DE PAGAMENTO],Referencias!A7,Tabela1[VALOR LÍQUIDO])</f>
        <v>0</v>
      </c>
      <c r="C35" s="72">
        <v>0.04</v>
      </c>
      <c r="D35" s="44">
        <f t="shared" si="1"/>
        <v>0</v>
      </c>
      <c r="E35" s="44">
        <f t="shared" si="2"/>
        <v>0</v>
      </c>
    </row>
    <row r="36" spans="1:6" ht="19.5" customHeight="1">
      <c r="A36" s="43" t="s">
        <v>53</v>
      </c>
      <c r="B36" s="44">
        <f>SUMIF(Tabela1[FORMA DE PAGAMENTO],Referencias!A8,Tabela1[VALOR LÍQUIDO])</f>
        <v>0</v>
      </c>
      <c r="C36" s="73">
        <v>0.04</v>
      </c>
      <c r="D36" s="49">
        <f t="shared" si="1"/>
        <v>0</v>
      </c>
      <c r="E36" s="49">
        <f t="shared" si="2"/>
        <v>0</v>
      </c>
    </row>
    <row r="37" spans="1:6" ht="19.5" customHeight="1">
      <c r="C37" s="51" t="s">
        <v>18</v>
      </c>
      <c r="D37" s="50">
        <f>SUM(D31:D36)</f>
        <v>0</v>
      </c>
      <c r="E37" s="50">
        <f>SUM(E31:E36)</f>
        <v>0</v>
      </c>
    </row>
  </sheetData>
  <sheetProtection selectLockedCells="1"/>
  <mergeCells count="16">
    <mergeCell ref="F23:G23"/>
    <mergeCell ref="A29:E29"/>
    <mergeCell ref="M22:N22"/>
    <mergeCell ref="M25:N25"/>
    <mergeCell ref="M28:N28"/>
    <mergeCell ref="F26:G26"/>
    <mergeCell ref="I5:K5"/>
    <mergeCell ref="C6:D6"/>
    <mergeCell ref="A1:O1"/>
    <mergeCell ref="O17:Q17"/>
    <mergeCell ref="O10:Q10"/>
    <mergeCell ref="P11:Q11"/>
    <mergeCell ref="F5:G5"/>
    <mergeCell ref="C5:D5"/>
    <mergeCell ref="A12:G12"/>
    <mergeCell ref="I12:N12"/>
  </mergeCells>
  <phoneticPr fontId="21" type="noConversion"/>
  <conditionalFormatting sqref="G9">
    <cfRule type="cellIs" dxfId="323" priority="3" operator="greaterThan">
      <formula>0</formula>
    </cfRule>
    <cfRule type="cellIs" dxfId="322" priority="4" stopIfTrue="1" operator="lessThan">
      <formula>0</formula>
    </cfRule>
  </conditionalFormatting>
  <conditionalFormatting sqref="G10">
    <cfRule type="cellIs" dxfId="321" priority="1" operator="greaterThan">
      <formula>0</formula>
    </cfRule>
    <cfRule type="cellIs" dxfId="320" priority="2" operator="lessThan">
      <formula>0</formula>
    </cfRule>
  </conditionalFormatting>
  <dataValidations count="2">
    <dataValidation type="date" operator="greaterThan" allowBlank="1" showInputMessage="1" showErrorMessage="1" sqref="B22 K18:L20" xr:uid="{7A88EC63-F31B-4CD5-9068-00AA1ACA84E6}">
      <formula1>44348</formula1>
    </dataValidation>
    <dataValidation type="list" operator="greaterThanOrEqual" allowBlank="1" showInputMessage="1" showErrorMessage="1" sqref="M14:M20" xr:uid="{21CC6FE4-6855-4A71-A093-2A260DE62A54}">
      <formula1>"FIXA,VARIÁVEL"</formula1>
    </dataValidation>
  </dataValidations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C79F4E-6DC2-47FA-835B-A74018A387AF}">
          <x14:formula1>
            <xm:f>Referencias!$A$1:$A$10</xm:f>
          </x14:formula1>
          <xm:sqref>F18:F21 F14:F15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26648-323E-43BC-A966-A1D8B3A66CB9}">
  <sheetPr codeName="Planilha5"/>
  <dimension ref="A1:AZ37"/>
  <sheetViews>
    <sheetView showGridLines="0" showRowColHeaders="0" zoomScale="70" zoomScaleNormal="70" workbookViewId="0">
      <pane ySplit="1" topLeftCell="A24" activePane="bottomLeft" state="frozen"/>
      <selection pane="bottomLeft" activeCell="I19" sqref="I19"/>
    </sheetView>
  </sheetViews>
  <sheetFormatPr defaultRowHeight="15"/>
  <cols>
    <col min="1" max="1" width="27.42578125" style="13" customWidth="1"/>
    <col min="2" max="2" width="28.7109375" style="13" customWidth="1"/>
    <col min="3" max="3" width="13.7109375" style="13" customWidth="1"/>
    <col min="4" max="4" width="18" style="13" customWidth="1"/>
    <col min="5" max="5" width="22.85546875" style="13" customWidth="1"/>
    <col min="6" max="6" width="24.7109375" style="13" customWidth="1"/>
    <col min="7" max="7" width="16.5703125" style="13" customWidth="1"/>
    <col min="8" max="8" width="16.42578125" style="13" customWidth="1"/>
    <col min="9" max="9" width="19.42578125" style="13" customWidth="1"/>
    <col min="10" max="10" width="24.7109375" style="13" customWidth="1"/>
    <col min="11" max="11" width="19.7109375" style="13" customWidth="1"/>
    <col min="12" max="12" width="18.140625" style="13" customWidth="1"/>
    <col min="13" max="13" width="15" style="13" customWidth="1"/>
    <col min="14" max="14" width="14.7109375" style="13" customWidth="1"/>
    <col min="15" max="15" width="21.5703125" style="13" customWidth="1"/>
    <col min="16" max="16384" width="9.140625" style="13"/>
  </cols>
  <sheetData>
    <row r="1" spans="1:52" ht="108" customHeight="1">
      <c r="A1" s="104" t="s">
        <v>60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42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Z1"/>
    </row>
    <row r="2" spans="1:52" ht="15" customHeigh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Z2"/>
    </row>
    <row r="3" spans="1:52" ht="15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AZ3"/>
    </row>
    <row r="4" spans="1:52" ht="15" customHeight="1" thickBo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</row>
    <row r="5" spans="1:52" ht="15" customHeight="1" thickBot="1">
      <c r="A5"/>
      <c r="B5" s="32" t="s">
        <v>0</v>
      </c>
      <c r="C5" s="109">
        <f>JUN!K8</f>
        <v>0</v>
      </c>
      <c r="D5" s="110"/>
      <c r="E5"/>
      <c r="F5" s="99" t="s">
        <v>2</v>
      </c>
      <c r="G5" s="101"/>
      <c r="H5"/>
      <c r="I5" s="99" t="s">
        <v>62</v>
      </c>
      <c r="J5" s="100"/>
      <c r="K5" s="101"/>
      <c r="L5"/>
      <c r="M5"/>
      <c r="N5"/>
      <c r="O5"/>
    </row>
    <row r="6" spans="1:52" ht="15" customHeight="1" thickBot="1">
      <c r="A6"/>
      <c r="B6" s="31" t="s">
        <v>1</v>
      </c>
      <c r="C6" s="102">
        <f>G9</f>
        <v>0</v>
      </c>
      <c r="D6" s="103"/>
      <c r="E6"/>
      <c r="F6" s="1" t="s">
        <v>0</v>
      </c>
      <c r="G6" s="14">
        <f>C5</f>
        <v>0</v>
      </c>
      <c r="H6"/>
      <c r="I6" s="9" t="s">
        <v>5</v>
      </c>
      <c r="J6" s="74">
        <v>0.45</v>
      </c>
      <c r="K6" s="2">
        <f>IF($G$10&lt;=0,0,($G$10*J6))</f>
        <v>0</v>
      </c>
      <c r="L6"/>
      <c r="M6"/>
      <c r="N6"/>
      <c r="O6"/>
    </row>
    <row r="7" spans="1:52" ht="15" customHeight="1">
      <c r="A7"/>
      <c r="E7"/>
      <c r="F7" s="1" t="s">
        <v>3</v>
      </c>
      <c r="G7" s="14">
        <f>M28</f>
        <v>0</v>
      </c>
      <c r="H7"/>
      <c r="I7" s="9" t="s">
        <v>6</v>
      </c>
      <c r="J7" s="74">
        <v>0.45</v>
      </c>
      <c r="K7" s="2">
        <f t="shared" ref="K7:K8" si="0">IF($G$10&lt;=0,0,($G$10*J7))</f>
        <v>0</v>
      </c>
      <c r="L7"/>
      <c r="M7"/>
      <c r="N7"/>
      <c r="O7"/>
    </row>
    <row r="8" spans="1:52">
      <c r="F8" s="1" t="s">
        <v>4</v>
      </c>
      <c r="G8" s="14">
        <f>F22+E36</f>
        <v>0</v>
      </c>
      <c r="I8" s="9" t="s">
        <v>21</v>
      </c>
      <c r="J8" s="74">
        <v>0.1</v>
      </c>
      <c r="K8" s="2">
        <f t="shared" si="0"/>
        <v>0</v>
      </c>
    </row>
    <row r="9" spans="1:52">
      <c r="F9" s="1" t="s">
        <v>1</v>
      </c>
      <c r="G9" s="14">
        <f>(G6+G8)-G7</f>
        <v>0</v>
      </c>
    </row>
    <row r="10" spans="1:52">
      <c r="F10" s="1" t="s">
        <v>63</v>
      </c>
      <c r="G10" s="14">
        <f>G8-G7</f>
        <v>0</v>
      </c>
      <c r="L10" s="15"/>
      <c r="O10" s="108"/>
      <c r="P10" s="108"/>
      <c r="Q10" s="108"/>
    </row>
    <row r="11" spans="1:52">
      <c r="P11" s="108"/>
      <c r="Q11" s="108"/>
    </row>
    <row r="12" spans="1:52" ht="48.75" customHeight="1">
      <c r="A12" s="111" t="s">
        <v>4</v>
      </c>
      <c r="B12" s="111"/>
      <c r="C12" s="111"/>
      <c r="D12" s="111"/>
      <c r="E12" s="111"/>
      <c r="F12" s="111"/>
      <c r="G12" s="111"/>
      <c r="I12" s="111" t="s">
        <v>17</v>
      </c>
      <c r="J12" s="111"/>
      <c r="K12" s="111"/>
      <c r="L12" s="111"/>
      <c r="M12" s="111"/>
      <c r="N12" s="111"/>
    </row>
    <row r="13" spans="1:52" ht="31.5" customHeight="1" thickBot="1">
      <c r="A13" s="17" t="s">
        <v>61</v>
      </c>
      <c r="B13" s="16" t="s">
        <v>7</v>
      </c>
      <c r="C13" s="17" t="s">
        <v>8</v>
      </c>
      <c r="D13" s="17" t="s">
        <v>9</v>
      </c>
      <c r="E13" s="17" t="s">
        <v>12</v>
      </c>
      <c r="F13" s="18" t="s">
        <v>11</v>
      </c>
      <c r="G13" s="19" t="s">
        <v>10</v>
      </c>
      <c r="I13" s="17" t="s">
        <v>61</v>
      </c>
      <c r="J13" s="16" t="s">
        <v>7</v>
      </c>
      <c r="K13" s="18" t="s">
        <v>13</v>
      </c>
      <c r="L13" s="18" t="s">
        <v>14</v>
      </c>
      <c r="M13" s="17" t="s">
        <v>16</v>
      </c>
      <c r="N13" s="20" t="s">
        <v>15</v>
      </c>
      <c r="O13"/>
    </row>
    <row r="14" spans="1:52" ht="15.75" thickBot="1">
      <c r="A14" s="57"/>
      <c r="B14" s="58"/>
      <c r="C14" s="61"/>
      <c r="D14" s="62"/>
      <c r="E14" s="63"/>
      <c r="F14" s="64"/>
      <c r="G14" s="21">
        <f>Tabela14[[#This Row],[VALOR BRUTO]]*(1-Tabela14[[#This Row],[DESCONTO]])</f>
        <v>0</v>
      </c>
      <c r="I14" s="66"/>
      <c r="J14" s="67"/>
      <c r="K14" s="69"/>
      <c r="L14" s="69"/>
      <c r="M14" s="70"/>
      <c r="N14" s="71"/>
      <c r="O14"/>
    </row>
    <row r="15" spans="1:52" ht="15" customHeight="1" thickBot="1">
      <c r="A15" s="58"/>
      <c r="B15" s="58"/>
      <c r="C15" s="61"/>
      <c r="D15" s="62"/>
      <c r="E15" s="63"/>
      <c r="F15" s="64"/>
      <c r="G15" s="21">
        <f>Tabela14[[#This Row],[VALOR BRUTO]]*(1-Tabela14[[#This Row],[DESCONTO]])</f>
        <v>0</v>
      </c>
      <c r="I15" s="67"/>
      <c r="J15" s="67"/>
      <c r="K15" s="69"/>
      <c r="L15" s="69"/>
      <c r="M15" s="70"/>
      <c r="N15" s="71"/>
    </row>
    <row r="16" spans="1:52" ht="15" customHeight="1" thickBot="1">
      <c r="A16" s="58"/>
      <c r="B16" s="58"/>
      <c r="C16" s="61"/>
      <c r="D16" s="62"/>
      <c r="E16" s="63"/>
      <c r="F16" s="64"/>
      <c r="G16" s="21">
        <f>Tabela14[[#This Row],[VALOR BRUTO]]*(1-Tabela14[[#This Row],[DESCONTO]])</f>
        <v>0</v>
      </c>
      <c r="I16" s="67"/>
      <c r="J16" s="67"/>
      <c r="K16" s="69"/>
      <c r="L16" s="69"/>
      <c r="M16" s="70"/>
      <c r="N16" s="71"/>
    </row>
    <row r="17" spans="1:19" ht="15" customHeight="1" thickBot="1">
      <c r="A17" s="58"/>
      <c r="B17" s="58"/>
      <c r="C17" s="61"/>
      <c r="D17" s="62"/>
      <c r="E17" s="63"/>
      <c r="F17" s="64"/>
      <c r="G17" s="21">
        <f>Tabela14[[#This Row],[VALOR BRUTO]]*(1-Tabela14[[#This Row],[DESCONTO]])</f>
        <v>0</v>
      </c>
      <c r="H17" s="15"/>
      <c r="I17" s="67"/>
      <c r="J17" s="67"/>
      <c r="K17" s="69"/>
      <c r="L17" s="69"/>
      <c r="M17" s="70"/>
      <c r="N17" s="71"/>
      <c r="O17" s="106"/>
      <c r="P17" s="107"/>
      <c r="Q17" s="107"/>
    </row>
    <row r="18" spans="1:19" ht="18" customHeight="1" thickBot="1">
      <c r="A18" s="58"/>
      <c r="B18" s="58"/>
      <c r="C18" s="61"/>
      <c r="D18" s="62"/>
      <c r="E18" s="63"/>
      <c r="F18" s="64"/>
      <c r="G18" s="21">
        <f>Tabela14[[#This Row],[VALOR BRUTO]]*(1-Tabela14[[#This Row],[DESCONTO]])</f>
        <v>0</v>
      </c>
      <c r="I18" s="67"/>
      <c r="J18" s="67"/>
      <c r="K18" s="69"/>
      <c r="L18" s="69"/>
      <c r="M18" s="70"/>
      <c r="N18" s="71"/>
      <c r="Q18" s="10"/>
      <c r="R18" s="11"/>
      <c r="S18" s="12"/>
    </row>
    <row r="19" spans="1:19" ht="15.75" thickBot="1">
      <c r="A19" s="59"/>
      <c r="B19" s="60"/>
      <c r="C19" s="61"/>
      <c r="D19" s="62"/>
      <c r="E19" s="63"/>
      <c r="F19" s="65"/>
      <c r="G19" s="21">
        <f>Tabela14[[#This Row],[VALOR BRUTO]]*(1-Tabela14[[#This Row],[DESCONTO]])</f>
        <v>0</v>
      </c>
      <c r="I19" s="68"/>
      <c r="J19" s="67"/>
      <c r="K19" s="69"/>
      <c r="L19" s="69"/>
      <c r="M19" s="70"/>
      <c r="N19" s="71"/>
      <c r="Q19" s="10"/>
      <c r="R19" s="11"/>
      <c r="S19" s="12"/>
    </row>
    <row r="20" spans="1:19">
      <c r="A20" s="22"/>
      <c r="B20" s="23"/>
      <c r="C20" s="24"/>
      <c r="D20" s="25"/>
      <c r="E20" s="22"/>
      <c r="F20" s="24"/>
      <c r="I20" s="27"/>
      <c r="J20" s="27"/>
      <c r="K20" s="26"/>
      <c r="L20" s="28"/>
      <c r="Q20" s="10"/>
      <c r="R20" s="11"/>
      <c r="S20" s="12"/>
    </row>
    <row r="22" spans="1:19" ht="31.5" thickBot="1">
      <c r="A22" s="29" t="s">
        <v>59</v>
      </c>
      <c r="B22" s="30"/>
      <c r="C22" s="30"/>
      <c r="D22" s="30"/>
      <c r="E22" s="40"/>
      <c r="F22" s="112">
        <f>SUMIF(Tabela14[FORMA DE PAGAMENTO],Referencias!A1,Tabela14[VALOR LÍQUIDO])+SUMIF(Tabela14[FORMA DE PAGAMENTO],Referencias!A2,Tabela14[VALOR LÍQUIDO])+SUMIF(Tabela14[FORMA DE PAGAMENTO],Referencias!A9,Tabela14[VALOR LÍQUIDO])+SUMIF(Tabela14[FORMA DE PAGAMENTO],Referencias!A10,Tabela14[VALOR LÍQUIDO])</f>
        <v>0</v>
      </c>
      <c r="G22" s="112"/>
      <c r="I22" s="29" t="s">
        <v>19</v>
      </c>
      <c r="J22" s="30"/>
      <c r="K22" s="30"/>
      <c r="L22" s="41"/>
      <c r="M22" s="114">
        <f>SUMIF(Tabela25[TIPO],"FIXA",Tabela25[VALOR])</f>
        <v>0</v>
      </c>
      <c r="N22" s="114"/>
    </row>
    <row r="23" spans="1:19" ht="15.75" thickTop="1">
      <c r="H23" s="26"/>
    </row>
    <row r="25" spans="1:19" ht="33" thickBot="1">
      <c r="A25" s="39" t="s">
        <v>54</v>
      </c>
      <c r="B25" s="30"/>
      <c r="C25" s="30"/>
      <c r="D25" s="30"/>
      <c r="E25" s="40"/>
      <c r="F25" s="114">
        <f>SUMIF(Tabela14[FORMA DE PAGAMENTO],Referencias!A3,Tabela14[VALOR LÍQUIDO])+SUMIF(Tabela14[FORMA DE PAGAMENTO],Referencias!A4,Tabela14[VALOR LÍQUIDO])+SUMIF(Tabela14[FORMA DE PAGAMENTO],Referencias!A5,Tabela14[VALOR LÍQUIDO])+SUMIF(Tabela14[FORMA DE PAGAMENTO],Referencias!A6,Tabela14[VALOR LÍQUIDO])+SUMIF(Tabela14[FORMA DE PAGAMENTO],Referencias!A7,Tabela14[VALOR LÍQUIDO])+SUMIF(Tabela14[FORMA DE PAGAMENTO],Referencias!A8,Tabela14[VALOR LÍQUIDO])</f>
        <v>0</v>
      </c>
      <c r="G25" s="114"/>
      <c r="I25" s="29" t="s">
        <v>20</v>
      </c>
      <c r="J25" s="30"/>
      <c r="K25" s="30"/>
      <c r="L25" s="41"/>
      <c r="M25" s="114">
        <f>SUMIF(Tabela25[TIPO],"VARIÁVEL",Tabela25[VALOR])</f>
        <v>0</v>
      </c>
      <c r="N25" s="114"/>
    </row>
    <row r="26" spans="1:19" ht="15.75" thickTop="1"/>
    <row r="28" spans="1:19" ht="33" thickBot="1">
      <c r="A28" s="111" t="s">
        <v>48</v>
      </c>
      <c r="B28" s="111"/>
      <c r="C28" s="111"/>
      <c r="D28" s="111"/>
      <c r="E28" s="111"/>
      <c r="F28" s="33"/>
      <c r="I28" s="29" t="s">
        <v>22</v>
      </c>
      <c r="J28" s="30"/>
      <c r="K28" s="30"/>
      <c r="L28" s="41"/>
      <c r="M28" s="114">
        <f>SUM(Tabela25[VALOR])</f>
        <v>0</v>
      </c>
      <c r="N28" s="114"/>
    </row>
    <row r="29" spans="1:19" ht="27" thickTop="1">
      <c r="A29" s="35" t="s">
        <v>44</v>
      </c>
      <c r="B29" s="35" t="s">
        <v>9</v>
      </c>
      <c r="C29" s="35" t="s">
        <v>49</v>
      </c>
      <c r="D29" s="35" t="s">
        <v>50</v>
      </c>
      <c r="E29" s="35" t="s">
        <v>10</v>
      </c>
      <c r="F29" s="33"/>
    </row>
    <row r="30" spans="1:19" ht="23.25" customHeight="1">
      <c r="A30" s="43" t="s">
        <v>45</v>
      </c>
      <c r="B30" s="44">
        <f>SUMIF(Tabela14[FORMA DE PAGAMENTO],Referencias!A3,Tabela14[VALOR LÍQUIDO])</f>
        <v>0</v>
      </c>
      <c r="C30" s="72">
        <v>0.04</v>
      </c>
      <c r="D30" s="44">
        <f>B30*C30</f>
        <v>0</v>
      </c>
      <c r="E30" s="44">
        <f>B30-D30</f>
        <v>0</v>
      </c>
      <c r="F30" s="33"/>
    </row>
    <row r="31" spans="1:19" ht="18.75">
      <c r="A31" s="43" t="s">
        <v>46</v>
      </c>
      <c r="B31" s="44">
        <f>SUMIF(Tabela14[FORMA DE PAGAMENTO],Referencias!A4,Tabela14[VALOR LÍQUIDO])</f>
        <v>0</v>
      </c>
      <c r="C31" s="72">
        <v>0.04</v>
      </c>
      <c r="D31" s="44">
        <f t="shared" ref="D31:D35" si="1">B31*C31</f>
        <v>0</v>
      </c>
      <c r="E31" s="44">
        <f t="shared" ref="E31:E35" si="2">B31-D31</f>
        <v>0</v>
      </c>
      <c r="F31" s="34"/>
    </row>
    <row r="32" spans="1:19">
      <c r="A32" s="43" t="s">
        <v>47</v>
      </c>
      <c r="B32" s="44">
        <f>SUMIF(Tabela14[FORMA DE PAGAMENTO],Referencias!A5,Tabela14[VALOR LÍQUIDO])</f>
        <v>0</v>
      </c>
      <c r="C32" s="72">
        <v>0.04</v>
      </c>
      <c r="D32" s="44">
        <f t="shared" si="1"/>
        <v>0</v>
      </c>
      <c r="E32" s="44">
        <f t="shared" si="2"/>
        <v>0</v>
      </c>
    </row>
    <row r="33" spans="1:5">
      <c r="A33" s="43" t="s">
        <v>51</v>
      </c>
      <c r="B33" s="44">
        <f>SUMIF(Tabela14[FORMA DE PAGAMENTO],Referencias!A6,Tabela14[VALOR LÍQUIDO])</f>
        <v>0</v>
      </c>
      <c r="C33" s="72">
        <v>0.04</v>
      </c>
      <c r="D33" s="44">
        <f t="shared" si="1"/>
        <v>0</v>
      </c>
      <c r="E33" s="44">
        <f t="shared" si="2"/>
        <v>0</v>
      </c>
    </row>
    <row r="34" spans="1:5" ht="15.75" customHeight="1">
      <c r="A34" s="43" t="s">
        <v>52</v>
      </c>
      <c r="B34" s="44">
        <f>SUMIF(Tabela14[FORMA DE PAGAMENTO],Referencias!A7,Tabela14[VALOR LÍQUIDO])</f>
        <v>0</v>
      </c>
      <c r="C34" s="72">
        <v>0.04</v>
      </c>
      <c r="D34" s="44">
        <f t="shared" si="1"/>
        <v>0</v>
      </c>
      <c r="E34" s="44">
        <f t="shared" si="2"/>
        <v>0</v>
      </c>
    </row>
    <row r="35" spans="1:5" ht="15" customHeight="1">
      <c r="A35" s="43" t="s">
        <v>53</v>
      </c>
      <c r="B35" s="44">
        <f>SUMIF(Tabela14[FORMA DE PAGAMENTO],Referencias!A8,Tabela14[VALOR LÍQUIDO])</f>
        <v>0</v>
      </c>
      <c r="C35" s="73">
        <v>0.04</v>
      </c>
      <c r="D35" s="49">
        <f t="shared" si="1"/>
        <v>0</v>
      </c>
      <c r="E35" s="49">
        <f t="shared" si="2"/>
        <v>0</v>
      </c>
    </row>
    <row r="36" spans="1:5" ht="19.5" customHeight="1">
      <c r="C36" s="51" t="s">
        <v>18</v>
      </c>
      <c r="D36" s="50">
        <f>SUM(D30:D35)</f>
        <v>0</v>
      </c>
      <c r="E36" s="50">
        <f>SUM(E30:E35)</f>
        <v>0</v>
      </c>
    </row>
    <row r="37" spans="1:5" ht="19.5" customHeight="1"/>
  </sheetData>
  <sheetProtection sheet="1" objects="1" scenarios="1" selectLockedCells="1"/>
  <mergeCells count="16">
    <mergeCell ref="F25:G25"/>
    <mergeCell ref="M25:N25"/>
    <mergeCell ref="A28:E28"/>
    <mergeCell ref="M28:N28"/>
    <mergeCell ref="P11:Q11"/>
    <mergeCell ref="A12:G12"/>
    <mergeCell ref="I12:N12"/>
    <mergeCell ref="O17:Q17"/>
    <mergeCell ref="F22:G22"/>
    <mergeCell ref="M22:N22"/>
    <mergeCell ref="O10:Q10"/>
    <mergeCell ref="A1:O1"/>
    <mergeCell ref="C5:D5"/>
    <mergeCell ref="F5:G5"/>
    <mergeCell ref="I5:K5"/>
    <mergeCell ref="C6:D6"/>
  </mergeCells>
  <conditionalFormatting sqref="G9">
    <cfRule type="cellIs" dxfId="296" priority="3" operator="greaterThan">
      <formula>0</formula>
    </cfRule>
    <cfRule type="cellIs" dxfId="295" priority="4" stopIfTrue="1" operator="lessThan">
      <formula>0</formula>
    </cfRule>
  </conditionalFormatting>
  <conditionalFormatting sqref="G10">
    <cfRule type="cellIs" dxfId="294" priority="1" operator="greaterThan">
      <formula>0</formula>
    </cfRule>
    <cfRule type="cellIs" dxfId="293" priority="2" operator="lessThan">
      <formula>0</formula>
    </cfRule>
  </conditionalFormatting>
  <dataValidations count="2">
    <dataValidation type="list" operator="greaterThanOrEqual" allowBlank="1" showInputMessage="1" showErrorMessage="1" sqref="K20 M14:M19" xr:uid="{8500ED1C-EF9C-4E68-9387-5EEC3D98E11F}">
      <formula1>"FIXA,VARIÁVEL"</formula1>
    </dataValidation>
    <dataValidation type="date" operator="greaterThan" allowBlank="1" showInputMessage="1" showErrorMessage="1" sqref="B20 K18:L19 I20:J20" xr:uid="{768C45B6-E531-4AD8-9A8E-E30E1E4697F5}">
      <formula1>44348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EA2914-2527-4357-821F-A04B3FECA2C6}">
          <x14:formula1>
            <xm:f>Referencias!$A$1:$A$10</xm:f>
          </x14:formula1>
          <xm:sqref>F14:F19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21B14-A42D-4A7E-B91E-5D46E8593323}">
  <sheetPr codeName="Planilha6"/>
  <dimension ref="A1:AZ37"/>
  <sheetViews>
    <sheetView showGridLines="0" showRowColHeaders="0" zoomScale="70" zoomScaleNormal="70" workbookViewId="0">
      <pane ySplit="1" topLeftCell="A13" activePane="bottomLeft" state="frozen"/>
      <selection pane="bottomLeft" activeCell="F14" sqref="F14"/>
    </sheetView>
  </sheetViews>
  <sheetFormatPr defaultRowHeight="15"/>
  <cols>
    <col min="1" max="1" width="27.42578125" style="13" customWidth="1"/>
    <col min="2" max="2" width="28.7109375" style="13" customWidth="1"/>
    <col min="3" max="3" width="13.7109375" style="13" customWidth="1"/>
    <col min="4" max="4" width="18" style="13" customWidth="1"/>
    <col min="5" max="5" width="22.85546875" style="13" customWidth="1"/>
    <col min="6" max="6" width="24.7109375" style="13" customWidth="1"/>
    <col min="7" max="7" width="16.5703125" style="13" customWidth="1"/>
    <col min="8" max="8" width="16.42578125" style="13" customWidth="1"/>
    <col min="9" max="9" width="19.42578125" style="13" customWidth="1"/>
    <col min="10" max="10" width="24.7109375" style="13" customWidth="1"/>
    <col min="11" max="11" width="19.7109375" style="13" customWidth="1"/>
    <col min="12" max="12" width="18.140625" style="13" customWidth="1"/>
    <col min="13" max="13" width="15" style="13" customWidth="1"/>
    <col min="14" max="14" width="14.7109375" style="13" customWidth="1"/>
    <col min="15" max="15" width="21.5703125" style="13" customWidth="1"/>
    <col min="16" max="16384" width="9.140625" style="13"/>
  </cols>
  <sheetData>
    <row r="1" spans="1:52" ht="108" customHeight="1">
      <c r="A1" s="104" t="s">
        <v>60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42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Z1"/>
    </row>
    <row r="2" spans="1:52" ht="15" customHeigh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Z2"/>
    </row>
    <row r="3" spans="1:52" ht="15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AZ3"/>
    </row>
    <row r="4" spans="1:52" ht="15" customHeight="1" thickBo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</row>
    <row r="5" spans="1:52" ht="15" customHeight="1" thickBot="1">
      <c r="A5"/>
      <c r="B5" s="32" t="s">
        <v>0</v>
      </c>
      <c r="C5" s="109">
        <f>JUL!K8</f>
        <v>0</v>
      </c>
      <c r="D5" s="110"/>
      <c r="E5"/>
      <c r="F5" s="99" t="s">
        <v>2</v>
      </c>
      <c r="G5" s="101"/>
      <c r="H5"/>
      <c r="I5" s="99" t="s">
        <v>62</v>
      </c>
      <c r="J5" s="100"/>
      <c r="K5" s="101"/>
      <c r="L5"/>
      <c r="M5"/>
      <c r="N5"/>
      <c r="O5"/>
    </row>
    <row r="6" spans="1:52" ht="15" customHeight="1" thickBot="1">
      <c r="A6"/>
      <c r="B6" s="31" t="s">
        <v>1</v>
      </c>
      <c r="C6" s="102">
        <f>G9</f>
        <v>0</v>
      </c>
      <c r="D6" s="103"/>
      <c r="E6"/>
      <c r="F6" s="1" t="s">
        <v>0</v>
      </c>
      <c r="G6" s="14">
        <f>C5</f>
        <v>0</v>
      </c>
      <c r="H6"/>
      <c r="I6" s="9"/>
      <c r="J6" s="74"/>
      <c r="K6" s="2"/>
      <c r="L6"/>
      <c r="M6"/>
      <c r="N6"/>
      <c r="O6"/>
    </row>
    <row r="7" spans="1:52" ht="15" customHeight="1">
      <c r="A7"/>
      <c r="E7"/>
      <c r="F7" s="1" t="s">
        <v>3</v>
      </c>
      <c r="G7" s="14">
        <f>M28</f>
        <v>0</v>
      </c>
      <c r="H7"/>
      <c r="I7" s="9" t="s">
        <v>6</v>
      </c>
      <c r="J7" s="74">
        <v>0.9</v>
      </c>
      <c r="K7" s="2">
        <f t="shared" ref="K7:K8" si="0">IF($G$10&lt;=0,0,($G$10*J7))</f>
        <v>0</v>
      </c>
      <c r="L7"/>
      <c r="M7"/>
      <c r="N7"/>
      <c r="O7"/>
    </row>
    <row r="8" spans="1:52">
      <c r="F8" s="1" t="s">
        <v>4</v>
      </c>
      <c r="G8" s="14">
        <f>F22+E36</f>
        <v>0</v>
      </c>
      <c r="I8" s="9" t="s">
        <v>21</v>
      </c>
      <c r="J8" s="74">
        <v>0.1</v>
      </c>
      <c r="K8" s="2">
        <f t="shared" si="0"/>
        <v>0</v>
      </c>
    </row>
    <row r="9" spans="1:52">
      <c r="F9" s="1" t="s">
        <v>1</v>
      </c>
      <c r="G9" s="14">
        <f>(G6+G8)-G7</f>
        <v>0</v>
      </c>
    </row>
    <row r="10" spans="1:52">
      <c r="F10" s="1" t="s">
        <v>63</v>
      </c>
      <c r="G10" s="14">
        <f>G8-G7</f>
        <v>0</v>
      </c>
      <c r="L10" s="15"/>
      <c r="O10" s="108"/>
      <c r="P10" s="108"/>
      <c r="Q10" s="108"/>
    </row>
    <row r="11" spans="1:52">
      <c r="P11" s="108"/>
      <c r="Q11" s="108"/>
    </row>
    <row r="12" spans="1:52" ht="48.75" customHeight="1">
      <c r="A12" s="111" t="s">
        <v>4</v>
      </c>
      <c r="B12" s="111"/>
      <c r="C12" s="111"/>
      <c r="D12" s="111"/>
      <c r="E12" s="111"/>
      <c r="F12" s="111"/>
      <c r="G12" s="111"/>
      <c r="I12" s="111" t="s">
        <v>17</v>
      </c>
      <c r="J12" s="111"/>
      <c r="K12" s="111"/>
      <c r="L12" s="111"/>
      <c r="M12" s="111"/>
      <c r="N12" s="111"/>
    </row>
    <row r="13" spans="1:52" ht="31.5" customHeight="1" thickBot="1">
      <c r="A13" s="17" t="s">
        <v>61</v>
      </c>
      <c r="B13" s="16" t="s">
        <v>7</v>
      </c>
      <c r="C13" s="17" t="s">
        <v>8</v>
      </c>
      <c r="D13" s="17" t="s">
        <v>9</v>
      </c>
      <c r="E13" s="17" t="s">
        <v>12</v>
      </c>
      <c r="F13" s="18" t="s">
        <v>11</v>
      </c>
      <c r="G13" s="19" t="s">
        <v>10</v>
      </c>
      <c r="I13" s="17" t="s">
        <v>61</v>
      </c>
      <c r="J13" s="16" t="s">
        <v>7</v>
      </c>
      <c r="K13" s="18" t="s">
        <v>13</v>
      </c>
      <c r="L13" s="18" t="s">
        <v>14</v>
      </c>
      <c r="M13" s="17" t="s">
        <v>16</v>
      </c>
      <c r="N13" s="20" t="s">
        <v>15</v>
      </c>
      <c r="O13"/>
    </row>
    <row r="14" spans="1:52" ht="15.75" thickBot="1">
      <c r="A14" s="57"/>
      <c r="B14" s="58"/>
      <c r="C14" s="61"/>
      <c r="D14" s="62"/>
      <c r="E14" s="63"/>
      <c r="F14" s="64"/>
      <c r="G14" s="21">
        <f>Tabela146[[#This Row],[VALOR BRUTO]]*(1-Tabela146[[#This Row],[DESCONTO]])</f>
        <v>0</v>
      </c>
      <c r="I14" s="66"/>
      <c r="J14" s="67"/>
      <c r="K14" s="69"/>
      <c r="L14" s="69"/>
      <c r="M14" s="70"/>
      <c r="N14" s="71"/>
      <c r="O14"/>
    </row>
    <row r="15" spans="1:52" ht="15" customHeight="1" thickBot="1">
      <c r="A15" s="58"/>
      <c r="B15" s="58"/>
      <c r="C15" s="61"/>
      <c r="D15" s="62"/>
      <c r="E15" s="63"/>
      <c r="F15" s="64"/>
      <c r="G15" s="21">
        <f>Tabela146[[#This Row],[VALOR BRUTO]]*(1-Tabela146[[#This Row],[DESCONTO]])</f>
        <v>0</v>
      </c>
      <c r="I15" s="67"/>
      <c r="J15" s="67"/>
      <c r="K15" s="69"/>
      <c r="L15" s="69"/>
      <c r="M15" s="70"/>
      <c r="N15" s="71"/>
    </row>
    <row r="16" spans="1:52" ht="15" customHeight="1" thickBot="1">
      <c r="A16" s="58"/>
      <c r="B16" s="58"/>
      <c r="C16" s="61"/>
      <c r="D16" s="62"/>
      <c r="E16" s="63"/>
      <c r="F16" s="64"/>
      <c r="G16" s="21">
        <f>Tabela146[[#This Row],[VALOR BRUTO]]*(1-Tabela146[[#This Row],[DESCONTO]])</f>
        <v>0</v>
      </c>
      <c r="I16" s="67"/>
      <c r="J16" s="67"/>
      <c r="K16" s="69"/>
      <c r="L16" s="69"/>
      <c r="M16" s="70"/>
      <c r="N16" s="71"/>
    </row>
    <row r="17" spans="1:19" ht="15" customHeight="1" thickBot="1">
      <c r="A17" s="58"/>
      <c r="B17" s="58"/>
      <c r="C17" s="61"/>
      <c r="D17" s="62"/>
      <c r="E17" s="63"/>
      <c r="F17" s="64"/>
      <c r="G17" s="21">
        <f>Tabela146[[#This Row],[VALOR BRUTO]]*(1-Tabela146[[#This Row],[DESCONTO]])</f>
        <v>0</v>
      </c>
      <c r="H17" s="15"/>
      <c r="I17" s="67"/>
      <c r="J17" s="67"/>
      <c r="K17" s="69"/>
      <c r="L17" s="69"/>
      <c r="M17" s="70"/>
      <c r="N17" s="71"/>
      <c r="O17" s="106"/>
      <c r="P17" s="107"/>
      <c r="Q17" s="107"/>
    </row>
    <row r="18" spans="1:19" ht="18" customHeight="1" thickBot="1">
      <c r="A18" s="58"/>
      <c r="B18" s="58"/>
      <c r="C18" s="61"/>
      <c r="D18" s="62"/>
      <c r="E18" s="63"/>
      <c r="F18" s="64"/>
      <c r="G18" s="21">
        <f>Tabela146[[#This Row],[VALOR BRUTO]]*(1-Tabela146[[#This Row],[DESCONTO]])</f>
        <v>0</v>
      </c>
      <c r="I18" s="67"/>
      <c r="J18" s="67"/>
      <c r="K18" s="69"/>
      <c r="L18" s="69"/>
      <c r="M18" s="70"/>
      <c r="N18" s="71"/>
      <c r="Q18" s="10"/>
      <c r="R18" s="11"/>
      <c r="S18" s="12"/>
    </row>
    <row r="19" spans="1:19" ht="15.75" thickBot="1">
      <c r="A19" s="59"/>
      <c r="B19" s="60"/>
      <c r="C19" s="61"/>
      <c r="D19" s="62"/>
      <c r="E19" s="63"/>
      <c r="F19" s="65"/>
      <c r="G19" s="21">
        <f>Tabela146[[#This Row],[VALOR BRUTO]]*(1-Tabela146[[#This Row],[DESCONTO]])</f>
        <v>0</v>
      </c>
      <c r="I19" s="68"/>
      <c r="J19" s="67"/>
      <c r="K19" s="69"/>
      <c r="L19" s="69"/>
      <c r="M19" s="70"/>
      <c r="N19" s="71"/>
      <c r="Q19" s="10"/>
      <c r="R19" s="11"/>
      <c r="S19" s="12"/>
    </row>
    <row r="20" spans="1:19">
      <c r="A20" s="22"/>
      <c r="B20" s="23"/>
      <c r="C20" s="24"/>
      <c r="D20" s="25"/>
      <c r="E20" s="22"/>
      <c r="F20" s="24"/>
      <c r="I20" s="27"/>
      <c r="J20" s="27"/>
      <c r="K20" s="26"/>
      <c r="L20" s="28"/>
      <c r="Q20" s="10"/>
      <c r="R20" s="11"/>
      <c r="S20" s="12"/>
    </row>
    <row r="22" spans="1:19" ht="31.5" thickBot="1">
      <c r="A22" s="29" t="s">
        <v>59</v>
      </c>
      <c r="B22" s="30"/>
      <c r="C22" s="30"/>
      <c r="D22" s="30"/>
      <c r="E22" s="40"/>
      <c r="F22" s="112">
        <f>SUMIF(Tabela146[FORMA DE PAGAMENTO],Referencias!A1,Tabela146[VALOR LÍQUIDO])+SUMIF(Tabela146[FORMA DE PAGAMENTO],Referencias!A2,Tabela146[VALOR LÍQUIDO])+SUMIF(Tabela146[FORMA DE PAGAMENTO],Referencias!A9,Tabela146[VALOR LÍQUIDO])+SUMIF(Tabela146[FORMA DE PAGAMENTO],Referencias!A10,Tabela146[VALOR LÍQUIDO])</f>
        <v>0</v>
      </c>
      <c r="G22" s="112"/>
      <c r="I22" s="29" t="s">
        <v>19</v>
      </c>
      <c r="J22" s="30"/>
      <c r="K22" s="30"/>
      <c r="L22" s="41"/>
      <c r="M22" s="114">
        <f>SUMIF(Tabela257[TIPO],"FIXA",Tabela257[VALOR])</f>
        <v>0</v>
      </c>
      <c r="N22" s="114"/>
    </row>
    <row r="23" spans="1:19" ht="15.75" thickTop="1">
      <c r="H23" s="26"/>
    </row>
    <row r="25" spans="1:19" ht="33" thickBot="1">
      <c r="A25" s="39" t="s">
        <v>54</v>
      </c>
      <c r="B25" s="30"/>
      <c r="C25" s="30"/>
      <c r="D25" s="30"/>
      <c r="E25" s="40"/>
      <c r="F25" s="114">
        <f>SUMIF(Tabela146[FORMA DE PAGAMENTO],Referencias!A3,Tabela146[VALOR LÍQUIDO])+SUMIF(Tabela146[FORMA DE PAGAMENTO],Referencias!A4,Tabela146[VALOR LÍQUIDO])+SUMIF(Tabela146[FORMA DE PAGAMENTO],Referencias!A5,Tabela146[VALOR LÍQUIDO])+SUMIF(Tabela146[FORMA DE PAGAMENTO],Referencias!A6,Tabela146[VALOR LÍQUIDO])+SUMIF(Tabela146[FORMA DE PAGAMENTO],Referencias!A7,Tabela146[VALOR LÍQUIDO])+SUMIF(Tabela146[FORMA DE PAGAMENTO],Referencias!A8,Tabela146[VALOR LÍQUIDO])</f>
        <v>0</v>
      </c>
      <c r="G25" s="114"/>
      <c r="I25" s="29" t="s">
        <v>20</v>
      </c>
      <c r="J25" s="30"/>
      <c r="K25" s="30"/>
      <c r="L25" s="41"/>
      <c r="M25" s="114">
        <f>SUMIF(Tabela257[TIPO],"VARIÁVEL",Tabela257[VALOR])</f>
        <v>0</v>
      </c>
      <c r="N25" s="114"/>
    </row>
    <row r="26" spans="1:19" ht="15.75" thickTop="1"/>
    <row r="28" spans="1:19" ht="33" thickBot="1">
      <c r="A28" s="111" t="s">
        <v>48</v>
      </c>
      <c r="B28" s="111"/>
      <c r="C28" s="111"/>
      <c r="D28" s="111"/>
      <c r="E28" s="111"/>
      <c r="F28" s="33"/>
      <c r="I28" s="29" t="s">
        <v>22</v>
      </c>
      <c r="J28" s="30"/>
      <c r="K28" s="30"/>
      <c r="L28" s="41"/>
      <c r="M28" s="114">
        <f>SUM(Tabela257[VALOR])</f>
        <v>0</v>
      </c>
      <c r="N28" s="114"/>
    </row>
    <row r="29" spans="1:19" ht="27" thickTop="1">
      <c r="A29" s="35" t="s">
        <v>44</v>
      </c>
      <c r="B29" s="35" t="s">
        <v>9</v>
      </c>
      <c r="C29" s="35" t="s">
        <v>49</v>
      </c>
      <c r="D29" s="35" t="s">
        <v>50</v>
      </c>
      <c r="E29" s="35" t="s">
        <v>10</v>
      </c>
      <c r="F29" s="33"/>
    </row>
    <row r="30" spans="1:19" ht="23.25" customHeight="1">
      <c r="A30" s="43" t="s">
        <v>45</v>
      </c>
      <c r="B30" s="44">
        <f>SUMIF(Tabela146[FORMA DE PAGAMENTO],Referencias!A3,Tabela146[VALOR LÍQUIDO])</f>
        <v>0</v>
      </c>
      <c r="C30" s="72">
        <v>0.04</v>
      </c>
      <c r="D30" s="44">
        <f>B30*C30</f>
        <v>0</v>
      </c>
      <c r="E30" s="44">
        <f>B30-D30</f>
        <v>0</v>
      </c>
      <c r="F30" s="33"/>
    </row>
    <row r="31" spans="1:19" ht="18.75">
      <c r="A31" s="43" t="s">
        <v>46</v>
      </c>
      <c r="B31" s="44">
        <f>SUMIF(Tabela146[FORMA DE PAGAMENTO],Referencias!A4,Tabela146[VALOR LÍQUIDO])</f>
        <v>0</v>
      </c>
      <c r="C31" s="72">
        <v>0.04</v>
      </c>
      <c r="D31" s="44">
        <f t="shared" ref="D31:D35" si="1">B31*C31</f>
        <v>0</v>
      </c>
      <c r="E31" s="44">
        <f t="shared" ref="E31:E35" si="2">B31-D31</f>
        <v>0</v>
      </c>
      <c r="F31" s="34"/>
    </row>
    <row r="32" spans="1:19">
      <c r="A32" s="43" t="s">
        <v>47</v>
      </c>
      <c r="B32" s="44">
        <f>SUMIF(Tabela146[FORMA DE PAGAMENTO],Referencias!A5,Tabela146[VALOR LÍQUIDO])</f>
        <v>0</v>
      </c>
      <c r="C32" s="72">
        <v>0.04</v>
      </c>
      <c r="D32" s="44">
        <f t="shared" si="1"/>
        <v>0</v>
      </c>
      <c r="E32" s="44">
        <f t="shared" si="2"/>
        <v>0</v>
      </c>
    </row>
    <row r="33" spans="1:5">
      <c r="A33" s="43" t="s">
        <v>51</v>
      </c>
      <c r="B33" s="44">
        <f>SUMIF(Tabela146[FORMA DE PAGAMENTO],Referencias!A6,Tabela146[VALOR LÍQUIDO])</f>
        <v>0</v>
      </c>
      <c r="C33" s="72">
        <v>0.04</v>
      </c>
      <c r="D33" s="44">
        <f t="shared" si="1"/>
        <v>0</v>
      </c>
      <c r="E33" s="44">
        <f t="shared" si="2"/>
        <v>0</v>
      </c>
    </row>
    <row r="34" spans="1:5" ht="15.75" customHeight="1">
      <c r="A34" s="43" t="s">
        <v>52</v>
      </c>
      <c r="B34" s="44">
        <f>SUMIF(Tabela146[FORMA DE PAGAMENTO],Referencias!A7,Tabela146[VALOR LÍQUIDO])</f>
        <v>0</v>
      </c>
      <c r="C34" s="72">
        <v>0.04</v>
      </c>
      <c r="D34" s="44">
        <f t="shared" si="1"/>
        <v>0</v>
      </c>
      <c r="E34" s="44">
        <f t="shared" si="2"/>
        <v>0</v>
      </c>
    </row>
    <row r="35" spans="1:5" ht="15" customHeight="1">
      <c r="A35" s="43" t="s">
        <v>53</v>
      </c>
      <c r="B35" s="44">
        <f>SUMIF(Tabela146[FORMA DE PAGAMENTO],Referencias!A8,Tabela146[VALOR LÍQUIDO])</f>
        <v>0</v>
      </c>
      <c r="C35" s="73">
        <v>0.04</v>
      </c>
      <c r="D35" s="49">
        <f t="shared" si="1"/>
        <v>0</v>
      </c>
      <c r="E35" s="49">
        <f t="shared" si="2"/>
        <v>0</v>
      </c>
    </row>
    <row r="36" spans="1:5" ht="19.5" customHeight="1">
      <c r="C36" s="51" t="s">
        <v>18</v>
      </c>
      <c r="D36" s="50">
        <f>SUM(D30:D35)</f>
        <v>0</v>
      </c>
      <c r="E36" s="50">
        <f>SUM(E30:E35)</f>
        <v>0</v>
      </c>
    </row>
    <row r="37" spans="1:5" ht="19.5" customHeight="1"/>
  </sheetData>
  <sheetProtection sheet="1" objects="1" scenarios="1" selectLockedCells="1"/>
  <mergeCells count="16">
    <mergeCell ref="F25:G25"/>
    <mergeCell ref="M25:N25"/>
    <mergeCell ref="A28:E28"/>
    <mergeCell ref="M28:N28"/>
    <mergeCell ref="P11:Q11"/>
    <mergeCell ref="A12:G12"/>
    <mergeCell ref="I12:N12"/>
    <mergeCell ref="O17:Q17"/>
    <mergeCell ref="F22:G22"/>
    <mergeCell ref="M22:N22"/>
    <mergeCell ref="O10:Q10"/>
    <mergeCell ref="A1:O1"/>
    <mergeCell ref="C5:D5"/>
    <mergeCell ref="F5:G5"/>
    <mergeCell ref="I5:K5"/>
    <mergeCell ref="C6:D6"/>
  </mergeCells>
  <conditionalFormatting sqref="G9">
    <cfRule type="cellIs" dxfId="269" priority="3" operator="greaterThan">
      <formula>0</formula>
    </cfRule>
    <cfRule type="cellIs" dxfId="268" priority="4" stopIfTrue="1" operator="lessThan">
      <formula>0</formula>
    </cfRule>
  </conditionalFormatting>
  <conditionalFormatting sqref="G10">
    <cfRule type="cellIs" dxfId="267" priority="1" operator="greaterThan">
      <formula>0</formula>
    </cfRule>
    <cfRule type="cellIs" dxfId="266" priority="2" operator="lessThan">
      <formula>0</formula>
    </cfRule>
  </conditionalFormatting>
  <dataValidations count="2">
    <dataValidation type="date" operator="greaterThan" allowBlank="1" showInputMessage="1" showErrorMessage="1" sqref="B20 K18:L19 I20:J20" xr:uid="{534C00F7-711C-4759-AB60-003CC95EFAD2}">
      <formula1>44348</formula1>
    </dataValidation>
    <dataValidation type="list" operator="greaterThanOrEqual" allowBlank="1" showInputMessage="1" showErrorMessage="1" sqref="K20 M14:M19" xr:uid="{6C7235F1-5CE2-43D3-B967-F352172041EF}">
      <formula1>"FIXA,VARIÁVEL"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710427-5723-42A5-8942-809606C8F51A}">
          <x14:formula1>
            <xm:f>Referencias!$A$1:$A$10</xm:f>
          </x14:formula1>
          <xm:sqref>F14:F19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E49FA-ECC2-40F3-A8F2-BFD2A1755706}">
  <sheetPr codeName="Planilha7"/>
  <dimension ref="A1:AZ38"/>
  <sheetViews>
    <sheetView showGridLines="0" showRowColHeaders="0" zoomScale="70" zoomScaleNormal="70" workbookViewId="0">
      <pane ySplit="1" topLeftCell="A2" activePane="bottomLeft" state="frozen"/>
      <selection pane="bottomLeft" activeCell="N14" sqref="N14"/>
    </sheetView>
  </sheetViews>
  <sheetFormatPr defaultRowHeight="15"/>
  <cols>
    <col min="1" max="1" width="27.42578125" style="13" customWidth="1"/>
    <col min="2" max="2" width="28.7109375" style="13" customWidth="1"/>
    <col min="3" max="3" width="13.7109375" style="13" customWidth="1"/>
    <col min="4" max="4" width="18" style="13" customWidth="1"/>
    <col min="5" max="5" width="22.85546875" style="13" customWidth="1"/>
    <col min="6" max="6" width="24.7109375" style="13" customWidth="1"/>
    <col min="7" max="7" width="16.5703125" style="13" customWidth="1"/>
    <col min="8" max="8" width="16.42578125" style="13" customWidth="1"/>
    <col min="9" max="9" width="19.42578125" style="13" customWidth="1"/>
    <col min="10" max="10" width="24.7109375" style="13" customWidth="1"/>
    <col min="11" max="11" width="19.7109375" style="13" customWidth="1"/>
    <col min="12" max="12" width="18.140625" style="13" customWidth="1"/>
    <col min="13" max="13" width="15" style="13" customWidth="1"/>
    <col min="14" max="14" width="14.7109375" style="13" customWidth="1"/>
    <col min="15" max="15" width="21.5703125" style="13" customWidth="1"/>
    <col min="16" max="16384" width="9.140625" style="13"/>
  </cols>
  <sheetData>
    <row r="1" spans="1:52" ht="108" customHeight="1">
      <c r="A1" s="104" t="s">
        <v>60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42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Z1"/>
    </row>
    <row r="2" spans="1:52" ht="15" customHeigh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Z2"/>
    </row>
    <row r="3" spans="1:52" ht="15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AZ3"/>
    </row>
    <row r="4" spans="1:52" ht="15" customHeight="1" thickBo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</row>
    <row r="5" spans="1:52" ht="15" customHeight="1" thickBot="1">
      <c r="A5"/>
      <c r="B5" s="32" t="s">
        <v>0</v>
      </c>
      <c r="C5" s="109">
        <f>AGO!K8</f>
        <v>0</v>
      </c>
      <c r="D5" s="110"/>
      <c r="E5"/>
      <c r="F5" s="99" t="s">
        <v>2</v>
      </c>
      <c r="G5" s="101"/>
      <c r="H5"/>
      <c r="I5" s="99" t="s">
        <v>62</v>
      </c>
      <c r="J5" s="100"/>
      <c r="K5" s="101"/>
      <c r="L5"/>
      <c r="M5"/>
      <c r="N5"/>
      <c r="O5"/>
    </row>
    <row r="6" spans="1:52" ht="15" customHeight="1" thickBot="1">
      <c r="A6"/>
      <c r="B6" s="31" t="s">
        <v>1</v>
      </c>
      <c r="C6" s="102">
        <f>G9</f>
        <v>0</v>
      </c>
      <c r="D6" s="103"/>
      <c r="E6"/>
      <c r="F6" s="1" t="s">
        <v>0</v>
      </c>
      <c r="G6" s="14">
        <f>C5</f>
        <v>0</v>
      </c>
      <c r="H6"/>
      <c r="I6" s="9"/>
      <c r="J6" s="74"/>
      <c r="K6" s="2"/>
      <c r="L6"/>
      <c r="M6"/>
      <c r="N6"/>
      <c r="O6"/>
    </row>
    <row r="7" spans="1:52" ht="15" customHeight="1">
      <c r="A7"/>
      <c r="E7"/>
      <c r="F7" s="1" t="s">
        <v>3</v>
      </c>
      <c r="G7" s="14">
        <f>M28</f>
        <v>0</v>
      </c>
      <c r="H7"/>
      <c r="I7" s="9" t="s">
        <v>6</v>
      </c>
      <c r="J7" s="74">
        <v>0.9</v>
      </c>
      <c r="K7" s="2">
        <f t="shared" ref="K7:K8" si="0">IF($G$10&lt;=0,0,($G$10*J7))</f>
        <v>0</v>
      </c>
      <c r="L7"/>
      <c r="M7"/>
      <c r="N7"/>
      <c r="O7"/>
    </row>
    <row r="8" spans="1:52">
      <c r="F8" s="1" t="s">
        <v>4</v>
      </c>
      <c r="G8" s="14">
        <f>F24+E38</f>
        <v>0</v>
      </c>
      <c r="I8" s="9" t="s">
        <v>21</v>
      </c>
      <c r="J8" s="74">
        <v>0.1</v>
      </c>
      <c r="K8" s="2">
        <f t="shared" si="0"/>
        <v>0</v>
      </c>
    </row>
    <row r="9" spans="1:52">
      <c r="F9" s="1" t="s">
        <v>1</v>
      </c>
      <c r="G9" s="14">
        <f>(G6+G8)-G7</f>
        <v>0</v>
      </c>
    </row>
    <row r="10" spans="1:52">
      <c r="F10" s="1" t="s">
        <v>63</v>
      </c>
      <c r="G10" s="14">
        <f>G8-G7</f>
        <v>0</v>
      </c>
      <c r="L10" s="15"/>
      <c r="O10" s="108"/>
      <c r="P10" s="108"/>
      <c r="Q10" s="108"/>
    </row>
    <row r="11" spans="1:52">
      <c r="P11" s="108"/>
      <c r="Q11" s="108"/>
    </row>
    <row r="12" spans="1:52" ht="48.75" customHeight="1">
      <c r="A12" s="111" t="s">
        <v>4</v>
      </c>
      <c r="B12" s="111"/>
      <c r="C12" s="111"/>
      <c r="D12" s="111"/>
      <c r="E12" s="111"/>
      <c r="F12" s="111"/>
      <c r="G12" s="111"/>
      <c r="I12" s="111" t="s">
        <v>17</v>
      </c>
      <c r="J12" s="111"/>
      <c r="K12" s="111"/>
      <c r="L12" s="111"/>
      <c r="M12" s="111"/>
      <c r="N12" s="111"/>
    </row>
    <row r="13" spans="1:52" ht="31.5" customHeight="1" thickBot="1">
      <c r="A13" s="17" t="s">
        <v>61</v>
      </c>
      <c r="B13" s="16" t="s">
        <v>7</v>
      </c>
      <c r="C13" s="17" t="s">
        <v>8</v>
      </c>
      <c r="D13" s="17" t="s">
        <v>9</v>
      </c>
      <c r="E13" s="17" t="s">
        <v>12</v>
      </c>
      <c r="F13" s="18" t="s">
        <v>11</v>
      </c>
      <c r="G13" s="19" t="s">
        <v>10</v>
      </c>
      <c r="I13" s="17" t="s">
        <v>61</v>
      </c>
      <c r="J13" s="16" t="s">
        <v>7</v>
      </c>
      <c r="K13" s="18" t="s">
        <v>13</v>
      </c>
      <c r="L13" s="18" t="s">
        <v>14</v>
      </c>
      <c r="M13" s="17" t="s">
        <v>16</v>
      </c>
      <c r="N13" s="20" t="s">
        <v>15</v>
      </c>
      <c r="O13"/>
    </row>
    <row r="14" spans="1:52" ht="15.75" thickBot="1">
      <c r="A14" s="75"/>
      <c r="B14" s="76"/>
      <c r="C14" s="87"/>
      <c r="D14" s="62"/>
      <c r="E14" s="63"/>
      <c r="F14" s="64" t="s">
        <v>55</v>
      </c>
      <c r="G14" s="21">
        <f>Tabela148[[#This Row],[VALOR BRUTO]]*(1-Tabela148[[#This Row],[DESCONTO]])</f>
        <v>0</v>
      </c>
      <c r="I14" s="66"/>
      <c r="J14" s="67"/>
      <c r="K14" s="69"/>
      <c r="L14" s="69"/>
      <c r="M14" s="70"/>
      <c r="N14" s="71"/>
      <c r="O14"/>
    </row>
    <row r="15" spans="1:52" ht="15" customHeight="1" thickBot="1">
      <c r="A15" s="75"/>
      <c r="B15" s="76"/>
      <c r="C15" s="87"/>
      <c r="D15" s="62"/>
      <c r="E15" s="63"/>
      <c r="F15" s="64" t="s">
        <v>55</v>
      </c>
      <c r="G15" s="21">
        <f>Tabela148[[#This Row],[VALOR BRUTO]]*(1-Tabela148[[#This Row],[DESCONTO]])</f>
        <v>0</v>
      </c>
      <c r="I15" s="67"/>
      <c r="J15" s="67"/>
      <c r="K15" s="69"/>
      <c r="L15" s="69"/>
      <c r="M15" s="70"/>
      <c r="N15" s="71"/>
    </row>
    <row r="16" spans="1:52" ht="15" customHeight="1" thickBot="1">
      <c r="A16" s="90"/>
      <c r="B16" s="58"/>
      <c r="C16" s="61"/>
      <c r="D16" s="62"/>
      <c r="E16" s="63"/>
      <c r="F16" s="64" t="s">
        <v>55</v>
      </c>
      <c r="G16" s="21">
        <f>Tabela148[[#This Row],[VALOR BRUTO]]*(1-Tabela148[[#This Row],[DESCONTO]])</f>
        <v>0</v>
      </c>
      <c r="I16" s="67"/>
      <c r="J16" s="67"/>
      <c r="K16" s="69"/>
      <c r="L16" s="69"/>
      <c r="M16" s="70"/>
      <c r="N16" s="71"/>
    </row>
    <row r="17" spans="1:19" ht="15" customHeight="1" thickBot="1">
      <c r="A17" s="91"/>
      <c r="B17" s="58"/>
      <c r="C17" s="61"/>
      <c r="D17" s="62"/>
      <c r="E17" s="63"/>
      <c r="F17" s="64" t="s">
        <v>55</v>
      </c>
      <c r="G17" s="21">
        <f>Tabela148[[#This Row],[VALOR BRUTO]]*(1-Tabela148[[#This Row],[DESCONTO]])</f>
        <v>0</v>
      </c>
      <c r="H17" s="15"/>
      <c r="I17" s="67"/>
      <c r="J17" s="67"/>
      <c r="K17" s="69"/>
      <c r="L17" s="69"/>
      <c r="M17" s="70"/>
      <c r="N17" s="71"/>
      <c r="O17" s="106"/>
      <c r="P17" s="107"/>
      <c r="Q17" s="107"/>
    </row>
    <row r="18" spans="1:19" ht="18" customHeight="1" thickBot="1">
      <c r="A18" s="58"/>
      <c r="B18" s="58"/>
      <c r="C18" s="61"/>
      <c r="D18" s="62"/>
      <c r="E18" s="63"/>
      <c r="F18" s="64" t="s">
        <v>55</v>
      </c>
      <c r="G18" s="21">
        <f>Tabela148[[#This Row],[VALOR BRUTO]]*(1-Tabela148[[#This Row],[DESCONTO]])</f>
        <v>0</v>
      </c>
      <c r="I18" s="67"/>
      <c r="J18" s="67"/>
      <c r="K18" s="69"/>
      <c r="L18" s="69"/>
      <c r="M18" s="70"/>
      <c r="N18" s="71"/>
      <c r="Q18" s="10"/>
      <c r="R18" s="11"/>
      <c r="S18" s="12"/>
    </row>
    <row r="19" spans="1:19" ht="16.5" thickBot="1">
      <c r="A19" s="58"/>
      <c r="B19" s="58"/>
      <c r="C19" s="61"/>
      <c r="D19" s="62"/>
      <c r="E19" s="63"/>
      <c r="F19" s="64" t="s">
        <v>55</v>
      </c>
      <c r="G19" s="21">
        <f>Tabela148[[#This Row],[VALOR BRUTO]]*(1-Tabela148[[#This Row],[DESCONTO]])</f>
        <v>0</v>
      </c>
      <c r="I19" s="68"/>
      <c r="J19" s="67"/>
      <c r="K19" s="69"/>
      <c r="L19" s="69"/>
      <c r="M19" s="70"/>
      <c r="N19" s="71"/>
      <c r="Q19" s="10"/>
      <c r="R19" s="11"/>
      <c r="S19" s="12"/>
    </row>
    <row r="20" spans="1:19" ht="15.75" thickBot="1">
      <c r="A20" s="58"/>
      <c r="B20" s="58"/>
      <c r="C20" s="61"/>
      <c r="D20" s="62"/>
      <c r="E20" s="63"/>
      <c r="F20" s="64" t="s">
        <v>55</v>
      </c>
      <c r="G20" s="21">
        <f>Tabela148[[#This Row],[VALOR BRUTO]]*(1-Tabela148[[#This Row],[DESCONTO]])</f>
        <v>0</v>
      </c>
      <c r="I20" s="27"/>
      <c r="J20" s="27"/>
      <c r="K20" s="26"/>
      <c r="L20" s="28"/>
      <c r="Q20" s="10"/>
      <c r="R20" s="11"/>
      <c r="S20" s="12"/>
    </row>
    <row r="21" spans="1:19" ht="15.75" thickBot="1">
      <c r="A21" s="59"/>
      <c r="B21" s="60"/>
      <c r="C21" s="61"/>
      <c r="D21" s="62"/>
      <c r="E21" s="63"/>
      <c r="F21" s="65"/>
      <c r="G21" s="21">
        <f>Tabela148[[#This Row],[VALOR BRUTO]]*(1-Tabela148[[#This Row],[DESCONTO]])</f>
        <v>0</v>
      </c>
    </row>
    <row r="22" spans="1:19" ht="31.5" thickBot="1">
      <c r="A22" s="22"/>
      <c r="B22" s="23"/>
      <c r="C22" s="24"/>
      <c r="D22" s="25"/>
      <c r="E22" s="22"/>
      <c r="F22" s="24"/>
      <c r="I22" s="29" t="s">
        <v>19</v>
      </c>
      <c r="J22" s="30"/>
      <c r="K22" s="30"/>
      <c r="L22" s="41"/>
      <c r="M22" s="114">
        <f>SUMIF(Tabela259[TIPO],"FIXA",Tabela259[VALOR])</f>
        <v>0</v>
      </c>
      <c r="N22" s="114"/>
    </row>
    <row r="23" spans="1:19" ht="15.75" thickTop="1">
      <c r="H23" s="26"/>
    </row>
    <row r="24" spans="1:19" ht="31.5" thickBot="1">
      <c r="A24" s="29" t="s">
        <v>59</v>
      </c>
      <c r="B24" s="30"/>
      <c r="C24" s="30"/>
      <c r="D24" s="30"/>
      <c r="E24" s="40"/>
      <c r="F24" s="112">
        <f>SUMIF(Tabela148[FORMA DE PAGAMENTO],Referencias!A1,Tabela148[VALOR LÍQUIDO])+SUMIF(Tabela148[FORMA DE PAGAMENTO],Referencias!A2,Tabela148[VALOR LÍQUIDO])+SUMIF(Tabela148[FORMA DE PAGAMENTO],Referencias!A9,Tabela148[VALOR LÍQUIDO])+SUMIF(Tabela148[FORMA DE PAGAMENTO],Referencias!A10,Tabela148[VALOR LÍQUIDO])</f>
        <v>0</v>
      </c>
      <c r="G24" s="112"/>
    </row>
    <row r="25" spans="1:19" ht="33.75" thickTop="1" thickBot="1">
      <c r="I25" s="29" t="s">
        <v>20</v>
      </c>
      <c r="J25" s="30"/>
      <c r="K25" s="30"/>
      <c r="L25" s="41"/>
      <c r="M25" s="114">
        <f>SUMIF(Tabela259[TIPO],"VARIÁVEL",Tabela259[VALOR])</f>
        <v>0</v>
      </c>
      <c r="N25" s="114"/>
    </row>
    <row r="26" spans="1:19" ht="15.75" thickTop="1"/>
    <row r="27" spans="1:19" ht="30.75" thickBot="1">
      <c r="A27" s="39" t="s">
        <v>54</v>
      </c>
      <c r="B27" s="30"/>
      <c r="C27" s="30"/>
      <c r="D27" s="30"/>
      <c r="E27" s="40"/>
      <c r="F27" s="114">
        <f>SUMIF(Tabela148[FORMA DE PAGAMENTO],Referencias!A3,Tabela148[VALOR LÍQUIDO])+SUMIF(Tabela148[FORMA DE PAGAMENTO],Referencias!A4,Tabela148[VALOR LÍQUIDO])+SUMIF(Tabela148[FORMA DE PAGAMENTO],Referencias!A5,Tabela148[VALOR LÍQUIDO])+SUMIF(Tabela148[FORMA DE PAGAMENTO],Referencias!A6,Tabela148[VALOR LÍQUIDO])+SUMIF(Tabela148[FORMA DE PAGAMENTO],Referencias!A7,Tabela148[VALOR LÍQUIDO])+SUMIF(Tabela148[FORMA DE PAGAMENTO],Referencias!A8,Tabela148[VALOR LÍQUIDO])</f>
        <v>0</v>
      </c>
      <c r="G27" s="114"/>
    </row>
    <row r="28" spans="1:19" ht="32.25" thickTop="1" thickBot="1">
      <c r="I28" s="29" t="s">
        <v>22</v>
      </c>
      <c r="J28" s="30"/>
      <c r="K28" s="30"/>
      <c r="L28" s="41"/>
      <c r="M28" s="114">
        <f>SUM(Tabela259[VALOR])</f>
        <v>0</v>
      </c>
      <c r="N28" s="114"/>
    </row>
    <row r="29" spans="1:19" ht="15.75" thickTop="1"/>
    <row r="30" spans="1:19" ht="23.25" customHeight="1">
      <c r="A30" s="111" t="s">
        <v>48</v>
      </c>
      <c r="B30" s="111"/>
      <c r="C30" s="111"/>
      <c r="D30" s="111"/>
      <c r="E30" s="111"/>
      <c r="F30" s="33"/>
    </row>
    <row r="31" spans="1:19" ht="26.25">
      <c r="A31" s="35" t="s">
        <v>44</v>
      </c>
      <c r="B31" s="35" t="s">
        <v>9</v>
      </c>
      <c r="C31" s="35" t="s">
        <v>49</v>
      </c>
      <c r="D31" s="35" t="s">
        <v>50</v>
      </c>
      <c r="E31" s="35" t="s">
        <v>10</v>
      </c>
      <c r="F31" s="33"/>
    </row>
    <row r="32" spans="1:19" ht="26.25">
      <c r="A32" s="43" t="s">
        <v>45</v>
      </c>
      <c r="B32" s="44">
        <f>SUMIF(Tabela148[FORMA DE PAGAMENTO],Referencias!A3,Tabela148[VALOR LÍQUIDO])</f>
        <v>0</v>
      </c>
      <c r="C32" s="72">
        <v>0.04</v>
      </c>
      <c r="D32" s="44">
        <f>B32*C32</f>
        <v>0</v>
      </c>
      <c r="E32" s="44">
        <f>B32-D32</f>
        <v>0</v>
      </c>
      <c r="F32" s="33"/>
    </row>
    <row r="33" spans="1:6" ht="18.75">
      <c r="A33" s="43" t="s">
        <v>46</v>
      </c>
      <c r="B33" s="44">
        <f>SUMIF(Tabela148[FORMA DE PAGAMENTO],Referencias!A4,Tabela148[VALOR LÍQUIDO])</f>
        <v>0</v>
      </c>
      <c r="C33" s="72">
        <v>0.04</v>
      </c>
      <c r="D33" s="44">
        <f t="shared" ref="D33:D37" si="1">B33*C33</f>
        <v>0</v>
      </c>
      <c r="E33" s="44">
        <f t="shared" ref="E33:E37" si="2">B33-D33</f>
        <v>0</v>
      </c>
      <c r="F33" s="34"/>
    </row>
    <row r="34" spans="1:6" ht="15.75" customHeight="1">
      <c r="A34" s="43" t="s">
        <v>47</v>
      </c>
      <c r="B34" s="44">
        <f>SUMIF(Tabela148[FORMA DE PAGAMENTO],Referencias!A5,Tabela148[VALOR LÍQUIDO])</f>
        <v>0</v>
      </c>
      <c r="C34" s="72">
        <v>0.04</v>
      </c>
      <c r="D34" s="44">
        <f t="shared" si="1"/>
        <v>0</v>
      </c>
      <c r="E34" s="44">
        <f t="shared" si="2"/>
        <v>0</v>
      </c>
    </row>
    <row r="35" spans="1:6" ht="15" customHeight="1">
      <c r="A35" s="43" t="s">
        <v>51</v>
      </c>
      <c r="B35" s="44">
        <f>SUMIF(Tabela148[FORMA DE PAGAMENTO],Referencias!A6,Tabela148[VALOR LÍQUIDO])</f>
        <v>0</v>
      </c>
      <c r="C35" s="72">
        <v>0.04</v>
      </c>
      <c r="D35" s="44">
        <f t="shared" si="1"/>
        <v>0</v>
      </c>
      <c r="E35" s="44">
        <f t="shared" si="2"/>
        <v>0</v>
      </c>
    </row>
    <row r="36" spans="1:6" ht="19.5" customHeight="1">
      <c r="A36" s="43" t="s">
        <v>52</v>
      </c>
      <c r="B36" s="44">
        <f>SUMIF(Tabela148[FORMA DE PAGAMENTO],Referencias!A7,Tabela148[VALOR LÍQUIDO])</f>
        <v>0</v>
      </c>
      <c r="C36" s="72">
        <v>0.04</v>
      </c>
      <c r="D36" s="44">
        <f t="shared" si="1"/>
        <v>0</v>
      </c>
      <c r="E36" s="44">
        <f t="shared" si="2"/>
        <v>0</v>
      </c>
    </row>
    <row r="37" spans="1:6" ht="19.5" customHeight="1">
      <c r="A37" s="43" t="s">
        <v>53</v>
      </c>
      <c r="B37" s="44">
        <f>SUMIF(Tabela148[FORMA DE PAGAMENTO],Referencias!A8,Tabela148[VALOR LÍQUIDO])</f>
        <v>0</v>
      </c>
      <c r="C37" s="73">
        <v>0.04</v>
      </c>
      <c r="D37" s="49">
        <f t="shared" si="1"/>
        <v>0</v>
      </c>
      <c r="E37" s="49">
        <f t="shared" si="2"/>
        <v>0</v>
      </c>
    </row>
    <row r="38" spans="1:6">
      <c r="C38" s="51" t="s">
        <v>18</v>
      </c>
      <c r="D38" s="50">
        <f>SUM(D32:D37)</f>
        <v>0</v>
      </c>
      <c r="E38" s="50">
        <f>SUM(E32:E37)</f>
        <v>0</v>
      </c>
    </row>
  </sheetData>
  <sheetProtection sheet="1" objects="1" scenarios="1" selectLockedCells="1"/>
  <mergeCells count="16">
    <mergeCell ref="F27:G27"/>
    <mergeCell ref="M25:N25"/>
    <mergeCell ref="A30:E30"/>
    <mergeCell ref="M28:N28"/>
    <mergeCell ref="P11:Q11"/>
    <mergeCell ref="A12:G12"/>
    <mergeCell ref="I12:N12"/>
    <mergeCell ref="O17:Q17"/>
    <mergeCell ref="F24:G24"/>
    <mergeCell ref="M22:N22"/>
    <mergeCell ref="O10:Q10"/>
    <mergeCell ref="A1:O1"/>
    <mergeCell ref="C5:D5"/>
    <mergeCell ref="F5:G5"/>
    <mergeCell ref="I5:K5"/>
    <mergeCell ref="C6:D6"/>
  </mergeCells>
  <conditionalFormatting sqref="G9">
    <cfRule type="cellIs" dxfId="242" priority="3" operator="greaterThan">
      <formula>0</formula>
    </cfRule>
    <cfRule type="cellIs" dxfId="241" priority="4" stopIfTrue="1" operator="lessThan">
      <formula>0</formula>
    </cfRule>
  </conditionalFormatting>
  <conditionalFormatting sqref="G10">
    <cfRule type="cellIs" dxfId="240" priority="1" operator="greaterThan">
      <formula>0</formula>
    </cfRule>
    <cfRule type="cellIs" dxfId="239" priority="2" operator="lessThan">
      <formula>0</formula>
    </cfRule>
  </conditionalFormatting>
  <dataValidations count="2">
    <dataValidation type="date" operator="greaterThan" allowBlank="1" showInputMessage="1" showErrorMessage="1" sqref="B22 K18:L19 I20:J20" xr:uid="{9CA1E0EA-FCD3-43E0-BC91-B6AA3031C2C5}">
      <formula1>44348</formula1>
    </dataValidation>
    <dataValidation type="list" operator="greaterThanOrEqual" allowBlank="1" showInputMessage="1" showErrorMessage="1" sqref="K20 M14:M19" xr:uid="{3FFBBADD-54EC-4434-AB0B-F33E89DC371C}">
      <formula1>"FIXA,VARIÁVEL"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2ECDD8-CF7C-4184-8AEE-2FEA319FEA56}">
          <x14:formula1>
            <xm:f>Referencias!$A$1:$A$10</xm:f>
          </x14:formula1>
          <xm:sqref>F14:F21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5A0E2-760C-471D-ACBB-5395FFF3E479}">
  <sheetPr codeName="Planilha8"/>
  <dimension ref="A1:AZ37"/>
  <sheetViews>
    <sheetView showGridLines="0" showRowColHeaders="0" zoomScale="70" zoomScaleNormal="70" workbookViewId="0">
      <pane ySplit="1" topLeftCell="A9" activePane="bottomLeft" state="frozen"/>
      <selection pane="bottomLeft" activeCell="F14" sqref="F14"/>
    </sheetView>
  </sheetViews>
  <sheetFormatPr defaultRowHeight="15"/>
  <cols>
    <col min="1" max="1" width="27.42578125" style="13" customWidth="1"/>
    <col min="2" max="2" width="28.7109375" style="13" customWidth="1"/>
    <col min="3" max="3" width="13.7109375" style="13" customWidth="1"/>
    <col min="4" max="4" width="18" style="13" customWidth="1"/>
    <col min="5" max="5" width="22.85546875" style="13" customWidth="1"/>
    <col min="6" max="6" width="24.7109375" style="13" customWidth="1"/>
    <col min="7" max="7" width="16.5703125" style="13" customWidth="1"/>
    <col min="8" max="8" width="16.42578125" style="13" customWidth="1"/>
    <col min="9" max="9" width="19.42578125" style="13" customWidth="1"/>
    <col min="10" max="10" width="24.7109375" style="13" customWidth="1"/>
    <col min="11" max="11" width="19.7109375" style="13" customWidth="1"/>
    <col min="12" max="12" width="18.140625" style="13" customWidth="1"/>
    <col min="13" max="13" width="15" style="13" customWidth="1"/>
    <col min="14" max="14" width="14.7109375" style="13" customWidth="1"/>
    <col min="15" max="15" width="21.5703125" style="13" customWidth="1"/>
    <col min="16" max="16384" width="9.140625" style="13"/>
  </cols>
  <sheetData>
    <row r="1" spans="1:52" ht="108" customHeight="1">
      <c r="A1" s="104" t="s">
        <v>60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42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Z1"/>
    </row>
    <row r="2" spans="1:52" ht="15" customHeigh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Z2"/>
    </row>
    <row r="3" spans="1:52" ht="15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AZ3"/>
    </row>
    <row r="4" spans="1:52" ht="15" customHeight="1" thickBo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</row>
    <row r="5" spans="1:52" ht="15" customHeight="1" thickBot="1">
      <c r="A5"/>
      <c r="B5" s="32" t="s">
        <v>0</v>
      </c>
      <c r="C5" s="109">
        <f>SET!K8</f>
        <v>0</v>
      </c>
      <c r="D5" s="110"/>
      <c r="E5"/>
      <c r="F5" s="99" t="s">
        <v>2</v>
      </c>
      <c r="G5" s="101"/>
      <c r="H5"/>
      <c r="I5" s="99" t="s">
        <v>62</v>
      </c>
      <c r="J5" s="100"/>
      <c r="K5" s="101"/>
      <c r="L5"/>
      <c r="M5"/>
      <c r="N5"/>
      <c r="O5"/>
    </row>
    <row r="6" spans="1:52" ht="15" customHeight="1" thickBot="1">
      <c r="A6"/>
      <c r="B6" s="31" t="s">
        <v>1</v>
      </c>
      <c r="C6" s="102">
        <f>G9</f>
        <v>0</v>
      </c>
      <c r="D6" s="103"/>
      <c r="E6"/>
      <c r="F6" s="1" t="s">
        <v>0</v>
      </c>
      <c r="G6" s="14">
        <f>C5</f>
        <v>0</v>
      </c>
      <c r="H6"/>
      <c r="I6" s="9" t="s">
        <v>5</v>
      </c>
      <c r="J6" s="74">
        <v>0.45</v>
      </c>
      <c r="K6" s="2">
        <f>IF($G$10&lt;=0,0,($G$10*J6))</f>
        <v>0</v>
      </c>
      <c r="L6"/>
      <c r="M6"/>
      <c r="N6"/>
      <c r="O6"/>
    </row>
    <row r="7" spans="1:52" ht="15" customHeight="1">
      <c r="A7"/>
      <c r="E7"/>
      <c r="F7" s="1" t="s">
        <v>3</v>
      </c>
      <c r="G7" s="14">
        <f>M28</f>
        <v>0</v>
      </c>
      <c r="H7"/>
      <c r="I7" s="9" t="s">
        <v>6</v>
      </c>
      <c r="J7" s="74">
        <v>0.45</v>
      </c>
      <c r="K7" s="2">
        <f t="shared" ref="K7:K8" si="0">IF($G$10&lt;=0,0,($G$10*J7))</f>
        <v>0</v>
      </c>
      <c r="L7"/>
      <c r="M7"/>
      <c r="N7"/>
      <c r="O7"/>
    </row>
    <row r="8" spans="1:52">
      <c r="F8" s="1" t="s">
        <v>4</v>
      </c>
      <c r="G8" s="14">
        <f>F22+E36</f>
        <v>0</v>
      </c>
      <c r="I8" s="9" t="s">
        <v>21</v>
      </c>
      <c r="J8" s="74">
        <v>0.1</v>
      </c>
      <c r="K8" s="2">
        <f t="shared" si="0"/>
        <v>0</v>
      </c>
    </row>
    <row r="9" spans="1:52">
      <c r="F9" s="1" t="s">
        <v>1</v>
      </c>
      <c r="G9" s="14">
        <f>(G6+G8)-G7</f>
        <v>0</v>
      </c>
    </row>
    <row r="10" spans="1:52">
      <c r="F10" s="1" t="s">
        <v>63</v>
      </c>
      <c r="G10" s="14">
        <f>G8-G7</f>
        <v>0</v>
      </c>
      <c r="L10" s="15"/>
      <c r="O10" s="108"/>
      <c r="P10" s="108"/>
      <c r="Q10" s="108"/>
    </row>
    <row r="11" spans="1:52">
      <c r="P11" s="108"/>
      <c r="Q11" s="108"/>
    </row>
    <row r="12" spans="1:52" ht="48.75" customHeight="1">
      <c r="A12" s="111" t="s">
        <v>4</v>
      </c>
      <c r="B12" s="111"/>
      <c r="C12" s="111"/>
      <c r="D12" s="111"/>
      <c r="E12" s="111"/>
      <c r="F12" s="111"/>
      <c r="G12" s="111"/>
      <c r="I12" s="111" t="s">
        <v>17</v>
      </c>
      <c r="J12" s="111"/>
      <c r="K12" s="111"/>
      <c r="L12" s="111"/>
      <c r="M12" s="111"/>
      <c r="N12" s="111"/>
    </row>
    <row r="13" spans="1:52" ht="31.5" customHeight="1" thickBot="1">
      <c r="A13" s="17" t="s">
        <v>61</v>
      </c>
      <c r="B13" s="16" t="s">
        <v>7</v>
      </c>
      <c r="C13" s="17" t="s">
        <v>8</v>
      </c>
      <c r="D13" s="17" t="s">
        <v>9</v>
      </c>
      <c r="E13" s="17" t="s">
        <v>12</v>
      </c>
      <c r="F13" s="18" t="s">
        <v>11</v>
      </c>
      <c r="G13" s="19" t="s">
        <v>10</v>
      </c>
      <c r="I13" s="17" t="s">
        <v>61</v>
      </c>
      <c r="J13" s="16" t="s">
        <v>7</v>
      </c>
      <c r="K13" s="18" t="s">
        <v>13</v>
      </c>
      <c r="L13" s="18" t="s">
        <v>14</v>
      </c>
      <c r="M13" s="17" t="s">
        <v>16</v>
      </c>
      <c r="N13" s="20" t="s">
        <v>15</v>
      </c>
      <c r="O13"/>
    </row>
    <row r="14" spans="1:52" ht="15.75" thickBot="1">
      <c r="A14" s="57"/>
      <c r="B14" s="58"/>
      <c r="C14" s="61"/>
      <c r="D14" s="62"/>
      <c r="E14" s="63"/>
      <c r="F14" s="64"/>
      <c r="G14" s="21">
        <f>Tabela1410[[#This Row],[VALOR BRUTO]]*(1-Tabela1410[[#This Row],[DESCONTO]])</f>
        <v>0</v>
      </c>
      <c r="I14" s="66"/>
      <c r="J14" s="67"/>
      <c r="K14" s="69"/>
      <c r="L14" s="69"/>
      <c r="M14" s="70"/>
      <c r="N14" s="71"/>
      <c r="O14"/>
    </row>
    <row r="15" spans="1:52" ht="15" customHeight="1" thickBot="1">
      <c r="A15" s="58"/>
      <c r="B15" s="58"/>
      <c r="C15" s="61"/>
      <c r="D15" s="62"/>
      <c r="E15" s="63"/>
      <c r="F15" s="64"/>
      <c r="G15" s="21">
        <f>Tabela1410[[#This Row],[VALOR BRUTO]]*(1-Tabela1410[[#This Row],[DESCONTO]])</f>
        <v>0</v>
      </c>
      <c r="I15" s="67"/>
      <c r="J15" s="67"/>
      <c r="K15" s="69"/>
      <c r="L15" s="69"/>
      <c r="M15" s="70"/>
      <c r="N15" s="71"/>
    </row>
    <row r="16" spans="1:52" ht="15" customHeight="1" thickBot="1">
      <c r="A16" s="58"/>
      <c r="B16" s="58"/>
      <c r="C16" s="61"/>
      <c r="D16" s="62"/>
      <c r="E16" s="63"/>
      <c r="F16" s="64"/>
      <c r="G16" s="21">
        <f>Tabela1410[[#This Row],[VALOR BRUTO]]*(1-Tabela1410[[#This Row],[DESCONTO]])</f>
        <v>0</v>
      </c>
      <c r="I16" s="67"/>
      <c r="J16" s="67"/>
      <c r="K16" s="69"/>
      <c r="L16" s="69"/>
      <c r="M16" s="70"/>
      <c r="N16" s="71"/>
    </row>
    <row r="17" spans="1:19" ht="15" customHeight="1" thickBot="1">
      <c r="A17" s="58"/>
      <c r="B17" s="58"/>
      <c r="C17" s="61"/>
      <c r="D17" s="62"/>
      <c r="E17" s="63"/>
      <c r="F17" s="64"/>
      <c r="G17" s="21">
        <f>Tabela1410[[#This Row],[VALOR BRUTO]]*(1-Tabela1410[[#This Row],[DESCONTO]])</f>
        <v>0</v>
      </c>
      <c r="H17" s="15"/>
      <c r="I17" s="67"/>
      <c r="J17" s="67"/>
      <c r="K17" s="69"/>
      <c r="L17" s="69"/>
      <c r="M17" s="70"/>
      <c r="N17" s="71"/>
      <c r="O17" s="106"/>
      <c r="P17" s="107"/>
      <c r="Q17" s="107"/>
    </row>
    <row r="18" spans="1:19" ht="18" customHeight="1" thickBot="1">
      <c r="A18" s="58"/>
      <c r="B18" s="58"/>
      <c r="C18" s="61"/>
      <c r="D18" s="62"/>
      <c r="E18" s="63"/>
      <c r="F18" s="64"/>
      <c r="G18" s="21">
        <f>Tabela1410[[#This Row],[VALOR BRUTO]]*(1-Tabela1410[[#This Row],[DESCONTO]])</f>
        <v>0</v>
      </c>
      <c r="I18" s="67"/>
      <c r="J18" s="67"/>
      <c r="K18" s="69"/>
      <c r="L18" s="69"/>
      <c r="M18" s="70"/>
      <c r="N18" s="71"/>
      <c r="Q18" s="10"/>
      <c r="R18" s="11"/>
      <c r="S18" s="12"/>
    </row>
    <row r="19" spans="1:19" ht="15.75" thickBot="1">
      <c r="A19" s="59"/>
      <c r="B19" s="60"/>
      <c r="C19" s="61"/>
      <c r="D19" s="62"/>
      <c r="E19" s="63"/>
      <c r="F19" s="65"/>
      <c r="G19" s="21">
        <f>Tabela1410[[#This Row],[VALOR BRUTO]]*(1-Tabela1410[[#This Row],[DESCONTO]])</f>
        <v>0</v>
      </c>
      <c r="I19" s="68"/>
      <c r="J19" s="67"/>
      <c r="K19" s="69"/>
      <c r="L19" s="69"/>
      <c r="M19" s="70"/>
      <c r="N19" s="71"/>
      <c r="Q19" s="10"/>
      <c r="R19" s="11"/>
      <c r="S19" s="12"/>
    </row>
    <row r="20" spans="1:19">
      <c r="A20" s="22"/>
      <c r="B20" s="23"/>
      <c r="C20" s="24"/>
      <c r="D20" s="25"/>
      <c r="E20" s="22"/>
      <c r="F20" s="24"/>
      <c r="I20" s="27"/>
      <c r="J20" s="27"/>
      <c r="K20" s="26"/>
      <c r="L20" s="28"/>
      <c r="Q20" s="10"/>
      <c r="R20" s="11"/>
      <c r="S20" s="12"/>
    </row>
    <row r="22" spans="1:19" ht="31.5" thickBot="1">
      <c r="A22" s="29" t="s">
        <v>59</v>
      </c>
      <c r="B22" s="30"/>
      <c r="C22" s="30"/>
      <c r="D22" s="30"/>
      <c r="E22" s="40"/>
      <c r="F22" s="112">
        <f>SUMIF(Tabela1410[FORMA DE PAGAMENTO],Referencias!A1,Tabela1410[VALOR LÍQUIDO])+SUMIF(Tabela1410[FORMA DE PAGAMENTO],Referencias!A2,Tabela1410[VALOR LÍQUIDO])+SUMIF(Tabela1410[FORMA DE PAGAMENTO],Referencias!A9,Tabela1410[VALOR LÍQUIDO])+SUMIF(Tabela1410[FORMA DE PAGAMENTO],Referencias!A10,Tabela1410[VALOR LÍQUIDO])</f>
        <v>0</v>
      </c>
      <c r="G22" s="112"/>
      <c r="I22" s="29" t="s">
        <v>19</v>
      </c>
      <c r="J22" s="30"/>
      <c r="K22" s="30"/>
      <c r="L22" s="41"/>
      <c r="M22" s="114">
        <f>SUMIF(Tabela2511[TIPO],"FIXA",Tabela2511[VALOR])</f>
        <v>0</v>
      </c>
      <c r="N22" s="114"/>
    </row>
    <row r="23" spans="1:19" ht="15.75" thickTop="1">
      <c r="H23" s="26"/>
    </row>
    <row r="25" spans="1:19" ht="33" thickBot="1">
      <c r="A25" s="39" t="s">
        <v>54</v>
      </c>
      <c r="B25" s="30"/>
      <c r="C25" s="30"/>
      <c r="D25" s="30"/>
      <c r="E25" s="40"/>
      <c r="F25" s="114">
        <f>SUMIF(Tabela1410[FORMA DE PAGAMENTO],Referencias!A3,Tabela1410[VALOR LÍQUIDO])+SUMIF(Tabela1410[FORMA DE PAGAMENTO],Referencias!A4,Tabela1410[VALOR LÍQUIDO])+SUMIF(Tabela1410[FORMA DE PAGAMENTO],Referencias!A5,Tabela1410[VALOR LÍQUIDO])+SUMIF(Tabela1410[FORMA DE PAGAMENTO],Referencias!A6,Tabela1410[VALOR LÍQUIDO])+SUMIF(Tabela1410[FORMA DE PAGAMENTO],Referencias!A7,Tabela1410[VALOR LÍQUIDO])+SUMIF(Tabela1410[FORMA DE PAGAMENTO],Referencias!A8,Tabela1410[VALOR LÍQUIDO])</f>
        <v>0</v>
      </c>
      <c r="G25" s="114"/>
      <c r="I25" s="29" t="s">
        <v>20</v>
      </c>
      <c r="J25" s="30"/>
      <c r="K25" s="30"/>
      <c r="L25" s="41"/>
      <c r="M25" s="114">
        <f>SUMIF(Tabela2511[TIPO],"VARIÁVEL",Tabela2511[VALOR])</f>
        <v>0</v>
      </c>
      <c r="N25" s="114"/>
    </row>
    <row r="26" spans="1:19" ht="15.75" thickTop="1"/>
    <row r="28" spans="1:19" ht="33" thickBot="1">
      <c r="A28" s="111" t="s">
        <v>48</v>
      </c>
      <c r="B28" s="111"/>
      <c r="C28" s="111"/>
      <c r="D28" s="111"/>
      <c r="E28" s="111"/>
      <c r="F28" s="33"/>
      <c r="I28" s="29" t="s">
        <v>22</v>
      </c>
      <c r="J28" s="30"/>
      <c r="K28" s="30"/>
      <c r="L28" s="41"/>
      <c r="M28" s="114">
        <f>SUM(Tabela2511[VALOR])</f>
        <v>0</v>
      </c>
      <c r="N28" s="114"/>
    </row>
    <row r="29" spans="1:19" ht="27" thickTop="1">
      <c r="A29" s="35" t="s">
        <v>44</v>
      </c>
      <c r="B29" s="35" t="s">
        <v>9</v>
      </c>
      <c r="C29" s="35" t="s">
        <v>49</v>
      </c>
      <c r="D29" s="35" t="s">
        <v>50</v>
      </c>
      <c r="E29" s="35" t="s">
        <v>10</v>
      </c>
      <c r="F29" s="33"/>
    </row>
    <row r="30" spans="1:19" ht="23.25" customHeight="1">
      <c r="A30" s="43" t="s">
        <v>45</v>
      </c>
      <c r="B30" s="44">
        <f>SUMIF(Tabela1410[FORMA DE PAGAMENTO],Referencias!A3,Tabela1410[VALOR LÍQUIDO])</f>
        <v>0</v>
      </c>
      <c r="C30" s="72">
        <v>0.04</v>
      </c>
      <c r="D30" s="44">
        <f>B30*C30</f>
        <v>0</v>
      </c>
      <c r="E30" s="44">
        <f>B30-D30</f>
        <v>0</v>
      </c>
      <c r="F30" s="33"/>
    </row>
    <row r="31" spans="1:19" ht="18.75">
      <c r="A31" s="43" t="s">
        <v>46</v>
      </c>
      <c r="B31" s="44">
        <f>SUMIF(Tabela1410[FORMA DE PAGAMENTO],Referencias!A4,Tabela1410[VALOR LÍQUIDO])</f>
        <v>0</v>
      </c>
      <c r="C31" s="72">
        <v>0.04</v>
      </c>
      <c r="D31" s="44">
        <f t="shared" ref="D31:D35" si="1">B31*C31</f>
        <v>0</v>
      </c>
      <c r="E31" s="44">
        <f t="shared" ref="E31:E35" si="2">B31-D31</f>
        <v>0</v>
      </c>
      <c r="F31" s="34"/>
    </row>
    <row r="32" spans="1:19">
      <c r="A32" s="43" t="s">
        <v>47</v>
      </c>
      <c r="B32" s="44">
        <f>SUMIF(Tabela1410[FORMA DE PAGAMENTO],Referencias!A5,Tabela1410[VALOR LÍQUIDO])</f>
        <v>0</v>
      </c>
      <c r="C32" s="72">
        <v>0.04</v>
      </c>
      <c r="D32" s="44">
        <f t="shared" si="1"/>
        <v>0</v>
      </c>
      <c r="E32" s="44">
        <f t="shared" si="2"/>
        <v>0</v>
      </c>
    </row>
    <row r="33" spans="1:5">
      <c r="A33" s="43" t="s">
        <v>51</v>
      </c>
      <c r="B33" s="44">
        <f>SUMIF(Tabela1410[FORMA DE PAGAMENTO],Referencias!A6,Tabela1410[VALOR LÍQUIDO])</f>
        <v>0</v>
      </c>
      <c r="C33" s="72">
        <v>0.04</v>
      </c>
      <c r="D33" s="44">
        <f t="shared" si="1"/>
        <v>0</v>
      </c>
      <c r="E33" s="44">
        <f t="shared" si="2"/>
        <v>0</v>
      </c>
    </row>
    <row r="34" spans="1:5" ht="15.75" customHeight="1">
      <c r="A34" s="43" t="s">
        <v>52</v>
      </c>
      <c r="B34" s="44">
        <f>SUMIF(Tabela1410[FORMA DE PAGAMENTO],Referencias!A7,Tabela1410[VALOR LÍQUIDO])</f>
        <v>0</v>
      </c>
      <c r="C34" s="72">
        <v>0.04</v>
      </c>
      <c r="D34" s="44">
        <f t="shared" si="1"/>
        <v>0</v>
      </c>
      <c r="E34" s="44">
        <f t="shared" si="2"/>
        <v>0</v>
      </c>
    </row>
    <row r="35" spans="1:5" ht="15" customHeight="1">
      <c r="A35" s="43" t="s">
        <v>53</v>
      </c>
      <c r="B35" s="44">
        <f>SUMIF(Tabela1410[FORMA DE PAGAMENTO],Referencias!A8,Tabela1410[VALOR LÍQUIDO])</f>
        <v>0</v>
      </c>
      <c r="C35" s="73">
        <v>0.04</v>
      </c>
      <c r="D35" s="49">
        <f t="shared" si="1"/>
        <v>0</v>
      </c>
      <c r="E35" s="49">
        <f t="shared" si="2"/>
        <v>0</v>
      </c>
    </row>
    <row r="36" spans="1:5" ht="19.5" customHeight="1">
      <c r="C36" s="51" t="s">
        <v>18</v>
      </c>
      <c r="D36" s="50">
        <f>SUM(D30:D35)</f>
        <v>0</v>
      </c>
      <c r="E36" s="50">
        <f>SUM(E30:E35)</f>
        <v>0</v>
      </c>
    </row>
    <row r="37" spans="1:5" ht="19.5" customHeight="1"/>
  </sheetData>
  <sheetProtection sheet="1" objects="1" scenarios="1" selectLockedCells="1"/>
  <mergeCells count="16">
    <mergeCell ref="F25:G25"/>
    <mergeCell ref="M25:N25"/>
    <mergeCell ref="A28:E28"/>
    <mergeCell ref="M28:N28"/>
    <mergeCell ref="P11:Q11"/>
    <mergeCell ref="A12:G12"/>
    <mergeCell ref="I12:N12"/>
    <mergeCell ref="O17:Q17"/>
    <mergeCell ref="F22:G22"/>
    <mergeCell ref="M22:N22"/>
    <mergeCell ref="O10:Q10"/>
    <mergeCell ref="A1:O1"/>
    <mergeCell ref="C5:D5"/>
    <mergeCell ref="F5:G5"/>
    <mergeCell ref="I5:K5"/>
    <mergeCell ref="C6:D6"/>
  </mergeCells>
  <conditionalFormatting sqref="G9">
    <cfRule type="cellIs" dxfId="215" priority="3" operator="greaterThan">
      <formula>0</formula>
    </cfRule>
    <cfRule type="cellIs" dxfId="214" priority="4" stopIfTrue="1" operator="lessThan">
      <formula>0</formula>
    </cfRule>
  </conditionalFormatting>
  <conditionalFormatting sqref="G10">
    <cfRule type="cellIs" dxfId="213" priority="1" operator="greaterThan">
      <formula>0</formula>
    </cfRule>
    <cfRule type="cellIs" dxfId="212" priority="2" operator="lessThan">
      <formula>0</formula>
    </cfRule>
  </conditionalFormatting>
  <dataValidations count="2">
    <dataValidation type="date" operator="greaterThan" allowBlank="1" showInputMessage="1" showErrorMessage="1" sqref="B20 K18:L19 I20:J20" xr:uid="{23B60297-0332-4B7C-AD82-E01F229EDFBD}">
      <formula1>44348</formula1>
    </dataValidation>
    <dataValidation type="list" operator="greaterThanOrEqual" allowBlank="1" showInputMessage="1" showErrorMessage="1" sqref="K20 M14:M19" xr:uid="{6E530B21-BD3C-4628-99E1-715BA745A66F}">
      <formula1>"FIXA,VARIÁVEL"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983523A-C9BB-46E8-8ECC-3D1B3D0CEAA9}">
          <x14:formula1>
            <xm:f>Referencias!$A$1:$A$10</xm:f>
          </x14:formula1>
          <xm:sqref>F14:F19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60640-F121-41B4-9994-28F3436EC3BB}">
  <sheetPr codeName="Planilha9"/>
  <dimension ref="A1:AZ37"/>
  <sheetViews>
    <sheetView showGridLines="0" showRowColHeaders="0" zoomScale="70" zoomScaleNormal="70" workbookViewId="0">
      <pane ySplit="1" topLeftCell="A4" activePane="bottomLeft" state="frozen"/>
      <selection pane="bottomLeft" activeCell="A14" sqref="A14"/>
    </sheetView>
  </sheetViews>
  <sheetFormatPr defaultRowHeight="15"/>
  <cols>
    <col min="1" max="1" width="27.42578125" style="13" customWidth="1"/>
    <col min="2" max="2" width="28.7109375" style="13" customWidth="1"/>
    <col min="3" max="3" width="13.7109375" style="13" customWidth="1"/>
    <col min="4" max="4" width="18" style="13" customWidth="1"/>
    <col min="5" max="5" width="22.85546875" style="13" customWidth="1"/>
    <col min="6" max="6" width="24.7109375" style="13" customWidth="1"/>
    <col min="7" max="7" width="16.5703125" style="13" customWidth="1"/>
    <col min="8" max="8" width="16.42578125" style="13" customWidth="1"/>
    <col min="9" max="9" width="19.42578125" style="13" customWidth="1"/>
    <col min="10" max="10" width="24.7109375" style="13" customWidth="1"/>
    <col min="11" max="11" width="19.7109375" style="13" customWidth="1"/>
    <col min="12" max="12" width="18.140625" style="13" customWidth="1"/>
    <col min="13" max="13" width="15" style="13" customWidth="1"/>
    <col min="14" max="14" width="14.7109375" style="13" customWidth="1"/>
    <col min="15" max="15" width="21.5703125" style="13" customWidth="1"/>
    <col min="16" max="16384" width="9.140625" style="13"/>
  </cols>
  <sheetData>
    <row r="1" spans="1:52" ht="108" customHeight="1">
      <c r="A1" s="104" t="s">
        <v>60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42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Z1"/>
    </row>
    <row r="2" spans="1:52" ht="15" customHeigh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Z2"/>
    </row>
    <row r="3" spans="1:52" ht="15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AZ3"/>
    </row>
    <row r="4" spans="1:52" ht="15" customHeight="1" thickBo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</row>
    <row r="5" spans="1:52" ht="15" customHeight="1" thickBot="1">
      <c r="A5"/>
      <c r="B5" s="32" t="s">
        <v>0</v>
      </c>
      <c r="C5" s="109">
        <f>OUT!K8</f>
        <v>0</v>
      </c>
      <c r="D5" s="110"/>
      <c r="E5"/>
      <c r="F5" s="99" t="s">
        <v>2</v>
      </c>
      <c r="G5" s="101"/>
      <c r="H5"/>
      <c r="I5" s="99" t="s">
        <v>62</v>
      </c>
      <c r="J5" s="100"/>
      <c r="K5" s="101"/>
      <c r="L5"/>
      <c r="M5"/>
      <c r="N5"/>
      <c r="O5"/>
    </row>
    <row r="6" spans="1:52" ht="15" customHeight="1" thickBot="1">
      <c r="A6"/>
      <c r="B6" s="31" t="s">
        <v>1</v>
      </c>
      <c r="C6" s="102">
        <f>G9</f>
        <v>0</v>
      </c>
      <c r="D6" s="103"/>
      <c r="E6"/>
      <c r="F6" s="1" t="s">
        <v>0</v>
      </c>
      <c r="G6" s="14">
        <f>C5</f>
        <v>0</v>
      </c>
      <c r="H6"/>
      <c r="I6" s="9" t="s">
        <v>5</v>
      </c>
      <c r="J6" s="74">
        <v>0.45</v>
      </c>
      <c r="K6" s="2">
        <f>IF($G$10&lt;=0,0,($G$10*J6))</f>
        <v>0</v>
      </c>
      <c r="L6"/>
      <c r="M6"/>
      <c r="N6"/>
      <c r="O6"/>
    </row>
    <row r="7" spans="1:52" ht="15" customHeight="1">
      <c r="A7"/>
      <c r="E7"/>
      <c r="F7" s="1" t="s">
        <v>3</v>
      </c>
      <c r="G7" s="14">
        <f>M28</f>
        <v>0</v>
      </c>
      <c r="H7"/>
      <c r="I7" s="9" t="s">
        <v>6</v>
      </c>
      <c r="J7" s="74">
        <v>0.45</v>
      </c>
      <c r="K7" s="2">
        <f t="shared" ref="K7:K8" si="0">IF($G$10&lt;=0,0,($G$10*J7))</f>
        <v>0</v>
      </c>
      <c r="L7"/>
      <c r="M7"/>
      <c r="N7"/>
      <c r="O7"/>
    </row>
    <row r="8" spans="1:52">
      <c r="F8" s="1" t="s">
        <v>4</v>
      </c>
      <c r="G8" s="14">
        <f>F22+E36</f>
        <v>0</v>
      </c>
      <c r="I8" s="9" t="s">
        <v>21</v>
      </c>
      <c r="J8" s="74">
        <v>0.1</v>
      </c>
      <c r="K8" s="2">
        <f t="shared" si="0"/>
        <v>0</v>
      </c>
    </row>
    <row r="9" spans="1:52">
      <c r="F9" s="1" t="s">
        <v>1</v>
      </c>
      <c r="G9" s="14">
        <f>(G6+G8)-G7</f>
        <v>0</v>
      </c>
    </row>
    <row r="10" spans="1:52">
      <c r="F10" s="1" t="s">
        <v>63</v>
      </c>
      <c r="G10" s="14">
        <f>G8-G7</f>
        <v>0</v>
      </c>
      <c r="L10" s="15"/>
      <c r="O10" s="108"/>
      <c r="P10" s="108"/>
      <c r="Q10" s="108"/>
    </row>
    <row r="11" spans="1:52">
      <c r="P11" s="108"/>
      <c r="Q11" s="108"/>
    </row>
    <row r="12" spans="1:52" ht="48.75" customHeight="1">
      <c r="A12" s="111" t="s">
        <v>4</v>
      </c>
      <c r="B12" s="111"/>
      <c r="C12" s="111"/>
      <c r="D12" s="111"/>
      <c r="E12" s="111"/>
      <c r="F12" s="111"/>
      <c r="G12" s="111"/>
      <c r="I12" s="111" t="s">
        <v>17</v>
      </c>
      <c r="J12" s="111"/>
      <c r="K12" s="111"/>
      <c r="L12" s="111"/>
      <c r="M12" s="111"/>
      <c r="N12" s="111"/>
    </row>
    <row r="13" spans="1:52" ht="31.5" customHeight="1" thickBot="1">
      <c r="A13" s="17" t="s">
        <v>61</v>
      </c>
      <c r="B13" s="16" t="s">
        <v>7</v>
      </c>
      <c r="C13" s="17" t="s">
        <v>8</v>
      </c>
      <c r="D13" s="17" t="s">
        <v>9</v>
      </c>
      <c r="E13" s="17" t="s">
        <v>12</v>
      </c>
      <c r="F13" s="18" t="s">
        <v>11</v>
      </c>
      <c r="G13" s="19" t="s">
        <v>10</v>
      </c>
      <c r="I13" s="17" t="s">
        <v>61</v>
      </c>
      <c r="J13" s="16" t="s">
        <v>7</v>
      </c>
      <c r="K13" s="18" t="s">
        <v>13</v>
      </c>
      <c r="L13" s="18" t="s">
        <v>14</v>
      </c>
      <c r="M13" s="17" t="s">
        <v>16</v>
      </c>
      <c r="N13" s="20" t="s">
        <v>15</v>
      </c>
      <c r="O13"/>
    </row>
    <row r="14" spans="1:52" ht="15.75" thickBot="1">
      <c r="A14" s="57"/>
      <c r="B14" s="58"/>
      <c r="C14" s="61"/>
      <c r="D14" s="62"/>
      <c r="E14" s="63"/>
      <c r="F14" s="64" t="s">
        <v>58</v>
      </c>
      <c r="G14" s="21">
        <f>Tabela1412[[#This Row],[VALOR BRUTO]]*(1-Tabela1412[[#This Row],[DESCONTO]])</f>
        <v>0</v>
      </c>
      <c r="I14" s="66"/>
      <c r="J14" s="67"/>
      <c r="K14" s="69"/>
      <c r="L14" s="69"/>
      <c r="M14" s="70"/>
      <c r="N14" s="71"/>
      <c r="O14"/>
    </row>
    <row r="15" spans="1:52" ht="15" customHeight="1" thickBot="1">
      <c r="A15" s="58"/>
      <c r="B15" s="58"/>
      <c r="C15" s="61"/>
      <c r="D15" s="62"/>
      <c r="E15" s="63"/>
      <c r="F15" s="64"/>
      <c r="G15" s="21">
        <f>Tabela1412[[#This Row],[VALOR BRUTO]]*(1-Tabela1412[[#This Row],[DESCONTO]])</f>
        <v>0</v>
      </c>
      <c r="I15" s="67"/>
      <c r="J15" s="67"/>
      <c r="K15" s="69"/>
      <c r="L15" s="69"/>
      <c r="M15" s="70"/>
      <c r="N15" s="71"/>
    </row>
    <row r="16" spans="1:52" ht="15" customHeight="1" thickBot="1">
      <c r="A16" s="58"/>
      <c r="B16" s="58"/>
      <c r="C16" s="61"/>
      <c r="D16" s="62"/>
      <c r="E16" s="63"/>
      <c r="F16" s="64"/>
      <c r="G16" s="21">
        <f>Tabela1412[[#This Row],[VALOR BRUTO]]*(1-Tabela1412[[#This Row],[DESCONTO]])</f>
        <v>0</v>
      </c>
      <c r="I16" s="67"/>
      <c r="J16" s="67"/>
      <c r="K16" s="69"/>
      <c r="L16" s="69"/>
      <c r="M16" s="70"/>
      <c r="N16" s="71"/>
    </row>
    <row r="17" spans="1:19" ht="15" customHeight="1" thickBot="1">
      <c r="A17" s="58"/>
      <c r="B17" s="58"/>
      <c r="C17" s="61"/>
      <c r="D17" s="62"/>
      <c r="E17" s="63"/>
      <c r="F17" s="64"/>
      <c r="G17" s="21">
        <f>Tabela1412[[#This Row],[VALOR BRUTO]]*(1-Tabela1412[[#This Row],[DESCONTO]])</f>
        <v>0</v>
      </c>
      <c r="H17" s="15"/>
      <c r="I17" s="67"/>
      <c r="J17" s="67"/>
      <c r="K17" s="69"/>
      <c r="L17" s="69"/>
      <c r="M17" s="70"/>
      <c r="N17" s="71"/>
      <c r="O17" s="106"/>
      <c r="P17" s="107"/>
      <c r="Q17" s="107"/>
    </row>
    <row r="18" spans="1:19" ht="18" customHeight="1" thickBot="1">
      <c r="A18" s="58"/>
      <c r="B18" s="58"/>
      <c r="C18" s="61"/>
      <c r="D18" s="62"/>
      <c r="E18" s="63"/>
      <c r="F18" s="64"/>
      <c r="G18" s="21">
        <f>Tabela1412[[#This Row],[VALOR BRUTO]]*(1-Tabela1412[[#This Row],[DESCONTO]])</f>
        <v>0</v>
      </c>
      <c r="I18" s="67"/>
      <c r="J18" s="67"/>
      <c r="K18" s="69"/>
      <c r="L18" s="69"/>
      <c r="M18" s="70"/>
      <c r="N18" s="71"/>
      <c r="Q18" s="10"/>
      <c r="R18" s="11"/>
      <c r="S18" s="12"/>
    </row>
    <row r="19" spans="1:19" ht="15.75" thickBot="1">
      <c r="A19" s="59"/>
      <c r="B19" s="60"/>
      <c r="C19" s="61"/>
      <c r="D19" s="62"/>
      <c r="E19" s="63"/>
      <c r="F19" s="65"/>
      <c r="G19" s="21">
        <f>Tabela1412[[#This Row],[VALOR BRUTO]]*(1-Tabela1412[[#This Row],[DESCONTO]])</f>
        <v>0</v>
      </c>
      <c r="I19" s="68"/>
      <c r="J19" s="67"/>
      <c r="K19" s="69"/>
      <c r="L19" s="69"/>
      <c r="M19" s="70"/>
      <c r="N19" s="71"/>
      <c r="Q19" s="10"/>
      <c r="R19" s="11"/>
      <c r="S19" s="12"/>
    </row>
    <row r="20" spans="1:19">
      <c r="A20" s="22"/>
      <c r="B20" s="23"/>
      <c r="C20" s="24"/>
      <c r="D20" s="25"/>
      <c r="E20" s="22"/>
      <c r="F20" s="24"/>
      <c r="I20" s="27"/>
      <c r="J20" s="27"/>
      <c r="K20" s="26"/>
      <c r="L20" s="28"/>
      <c r="Q20" s="10"/>
      <c r="R20" s="11"/>
      <c r="S20" s="12"/>
    </row>
    <row r="22" spans="1:19" ht="31.5" thickBot="1">
      <c r="A22" s="29" t="s">
        <v>59</v>
      </c>
      <c r="B22" s="30"/>
      <c r="C22" s="30"/>
      <c r="D22" s="30"/>
      <c r="E22" s="40"/>
      <c r="F22" s="112">
        <f>SUMIF(Tabela1412[FORMA DE PAGAMENTO],Referencias!A1,Tabela1412[VALOR LÍQUIDO])+SUMIF(Tabela1412[FORMA DE PAGAMENTO],Referencias!A2,Tabela1412[VALOR LÍQUIDO])+SUMIF(Tabela1412[FORMA DE PAGAMENTO],Referencias!A9,Tabela1412[VALOR LÍQUIDO])+SUMIF(Tabela1412[FORMA DE PAGAMENTO],Referencias!A10,Tabela1412[VALOR LÍQUIDO])</f>
        <v>0</v>
      </c>
      <c r="G22" s="112"/>
      <c r="I22" s="29" t="s">
        <v>19</v>
      </c>
      <c r="J22" s="30"/>
      <c r="K22" s="30"/>
      <c r="L22" s="41"/>
      <c r="M22" s="114">
        <f>SUMIF(Tabela2513[TIPO],"FIXA",Tabela2513[VALOR])</f>
        <v>0</v>
      </c>
      <c r="N22" s="114"/>
    </row>
    <row r="23" spans="1:19" ht="15.75" thickTop="1">
      <c r="H23" s="26"/>
    </row>
    <row r="25" spans="1:19" ht="33" thickBot="1">
      <c r="A25" s="39" t="s">
        <v>54</v>
      </c>
      <c r="B25" s="30"/>
      <c r="C25" s="30"/>
      <c r="D25" s="30"/>
      <c r="E25" s="40"/>
      <c r="F25" s="114">
        <f>SUMIF(Tabela1412[FORMA DE PAGAMENTO],Referencias!A3,Tabela1412[VALOR LÍQUIDO])+SUMIF(Tabela1412[FORMA DE PAGAMENTO],Referencias!A4,Tabela1412[VALOR LÍQUIDO])+SUMIF(Tabela1412[FORMA DE PAGAMENTO],Referencias!A5,Tabela1412[VALOR LÍQUIDO])+SUMIF(Tabela1412[FORMA DE PAGAMENTO],Referencias!A6,Tabela1412[VALOR LÍQUIDO])+SUMIF(Tabela1412[FORMA DE PAGAMENTO],Referencias!A7,Tabela1412[VALOR LÍQUIDO])+SUMIF(Tabela1412[FORMA DE PAGAMENTO],Referencias!A8,Tabela1412[VALOR LÍQUIDO])</f>
        <v>0</v>
      </c>
      <c r="G25" s="114"/>
      <c r="I25" s="29" t="s">
        <v>20</v>
      </c>
      <c r="J25" s="30"/>
      <c r="K25" s="30"/>
      <c r="L25" s="41"/>
      <c r="M25" s="114">
        <f>SUMIF(Tabela2513[TIPO],"VARIÁVEL",Tabela2513[VALOR])</f>
        <v>0</v>
      </c>
      <c r="N25" s="114"/>
    </row>
    <row r="26" spans="1:19" ht="15.75" thickTop="1"/>
    <row r="28" spans="1:19" ht="33" thickBot="1">
      <c r="A28" s="111" t="s">
        <v>48</v>
      </c>
      <c r="B28" s="111"/>
      <c r="C28" s="111"/>
      <c r="D28" s="111"/>
      <c r="E28" s="111"/>
      <c r="F28" s="33"/>
      <c r="I28" s="29" t="s">
        <v>22</v>
      </c>
      <c r="J28" s="30"/>
      <c r="K28" s="30"/>
      <c r="L28" s="41"/>
      <c r="M28" s="114">
        <f>SUM(Tabela2513[VALOR])</f>
        <v>0</v>
      </c>
      <c r="N28" s="114"/>
    </row>
    <row r="29" spans="1:19" ht="27" thickTop="1">
      <c r="A29" s="35" t="s">
        <v>44</v>
      </c>
      <c r="B29" s="35" t="s">
        <v>9</v>
      </c>
      <c r="C29" s="35" t="s">
        <v>49</v>
      </c>
      <c r="D29" s="35" t="s">
        <v>50</v>
      </c>
      <c r="E29" s="35" t="s">
        <v>10</v>
      </c>
      <c r="F29" s="33"/>
    </row>
    <row r="30" spans="1:19" ht="23.25" customHeight="1">
      <c r="A30" s="43" t="s">
        <v>45</v>
      </c>
      <c r="B30" s="44">
        <f>SUMIF(Tabela1412[FORMA DE PAGAMENTO],Referencias!A3,Tabela1412[VALOR LÍQUIDO])</f>
        <v>0</v>
      </c>
      <c r="C30" s="72">
        <v>0.04</v>
      </c>
      <c r="D30" s="44">
        <f>B30*C30</f>
        <v>0</v>
      </c>
      <c r="E30" s="44">
        <f>B30-D30</f>
        <v>0</v>
      </c>
      <c r="F30" s="33"/>
    </row>
    <row r="31" spans="1:19" ht="18.75">
      <c r="A31" s="43" t="s">
        <v>46</v>
      </c>
      <c r="B31" s="44">
        <f>SUMIF(Tabela1412[FORMA DE PAGAMENTO],Referencias!A4,Tabela1412[VALOR LÍQUIDO])</f>
        <v>0</v>
      </c>
      <c r="C31" s="72">
        <v>0.04</v>
      </c>
      <c r="D31" s="44">
        <f t="shared" ref="D31:D35" si="1">B31*C31</f>
        <v>0</v>
      </c>
      <c r="E31" s="44">
        <f t="shared" ref="E31:E35" si="2">B31-D31</f>
        <v>0</v>
      </c>
      <c r="F31" s="34"/>
    </row>
    <row r="32" spans="1:19">
      <c r="A32" s="43" t="s">
        <v>47</v>
      </c>
      <c r="B32" s="44">
        <f>SUMIF(Tabela1412[FORMA DE PAGAMENTO],Referencias!A5,Tabela1412[VALOR LÍQUIDO])</f>
        <v>0</v>
      </c>
      <c r="C32" s="72">
        <v>0.04</v>
      </c>
      <c r="D32" s="44">
        <f t="shared" si="1"/>
        <v>0</v>
      </c>
      <c r="E32" s="44">
        <f t="shared" si="2"/>
        <v>0</v>
      </c>
    </row>
    <row r="33" spans="1:5">
      <c r="A33" s="43" t="s">
        <v>51</v>
      </c>
      <c r="B33" s="44">
        <f>SUMIF(Tabela1412[FORMA DE PAGAMENTO],Referencias!A6,Tabela1412[VALOR LÍQUIDO])</f>
        <v>0</v>
      </c>
      <c r="C33" s="72">
        <v>0.04</v>
      </c>
      <c r="D33" s="44">
        <f t="shared" si="1"/>
        <v>0</v>
      </c>
      <c r="E33" s="44">
        <f t="shared" si="2"/>
        <v>0</v>
      </c>
    </row>
    <row r="34" spans="1:5" ht="15.75" customHeight="1">
      <c r="A34" s="43" t="s">
        <v>52</v>
      </c>
      <c r="B34" s="44">
        <f>SUMIF(Tabela1412[FORMA DE PAGAMENTO],Referencias!A7,Tabela1412[VALOR LÍQUIDO])</f>
        <v>0</v>
      </c>
      <c r="C34" s="72">
        <v>0.04</v>
      </c>
      <c r="D34" s="44">
        <f t="shared" si="1"/>
        <v>0</v>
      </c>
      <c r="E34" s="44">
        <f t="shared" si="2"/>
        <v>0</v>
      </c>
    </row>
    <row r="35" spans="1:5" ht="15" customHeight="1">
      <c r="A35" s="43" t="s">
        <v>53</v>
      </c>
      <c r="B35" s="44">
        <f>SUMIF(Tabela1412[FORMA DE PAGAMENTO],Referencias!A8,Tabela1412[VALOR LÍQUIDO])</f>
        <v>0</v>
      </c>
      <c r="C35" s="73">
        <v>0.04</v>
      </c>
      <c r="D35" s="49">
        <f t="shared" si="1"/>
        <v>0</v>
      </c>
      <c r="E35" s="49">
        <f t="shared" si="2"/>
        <v>0</v>
      </c>
    </row>
    <row r="36" spans="1:5" ht="19.5" customHeight="1">
      <c r="C36" s="51" t="s">
        <v>18</v>
      </c>
      <c r="D36" s="50">
        <f>SUM(D30:D35)</f>
        <v>0</v>
      </c>
      <c r="E36" s="50">
        <f>SUM(E30:E35)</f>
        <v>0</v>
      </c>
    </row>
    <row r="37" spans="1:5" ht="19.5" customHeight="1"/>
  </sheetData>
  <sheetProtection sheet="1" objects="1" scenarios="1" selectLockedCells="1"/>
  <mergeCells count="16">
    <mergeCell ref="F25:G25"/>
    <mergeCell ref="M25:N25"/>
    <mergeCell ref="A28:E28"/>
    <mergeCell ref="M28:N28"/>
    <mergeCell ref="P11:Q11"/>
    <mergeCell ref="A12:G12"/>
    <mergeCell ref="I12:N12"/>
    <mergeCell ref="O17:Q17"/>
    <mergeCell ref="F22:G22"/>
    <mergeCell ref="M22:N22"/>
    <mergeCell ref="O10:Q10"/>
    <mergeCell ref="A1:O1"/>
    <mergeCell ref="C5:D5"/>
    <mergeCell ref="F5:G5"/>
    <mergeCell ref="I5:K5"/>
    <mergeCell ref="C6:D6"/>
  </mergeCells>
  <conditionalFormatting sqref="G9">
    <cfRule type="cellIs" dxfId="188" priority="3" operator="greaterThan">
      <formula>0</formula>
    </cfRule>
    <cfRule type="cellIs" dxfId="187" priority="4" stopIfTrue="1" operator="lessThan">
      <formula>0</formula>
    </cfRule>
  </conditionalFormatting>
  <conditionalFormatting sqref="G10">
    <cfRule type="cellIs" dxfId="186" priority="1" operator="greaterThan">
      <formula>0</formula>
    </cfRule>
    <cfRule type="cellIs" dxfId="185" priority="2" operator="lessThan">
      <formula>0</formula>
    </cfRule>
  </conditionalFormatting>
  <dataValidations count="2">
    <dataValidation type="date" operator="greaterThan" allowBlank="1" showInputMessage="1" showErrorMessage="1" sqref="B20 K18:L19 I20:J20" xr:uid="{A46A6C37-2E8A-4D3D-B601-53EEF2B471D9}">
      <formula1>44348</formula1>
    </dataValidation>
    <dataValidation type="list" operator="greaterThanOrEqual" allowBlank="1" showInputMessage="1" showErrorMessage="1" sqref="K20 M14:M19" xr:uid="{421AB140-B3CF-44AA-A0F5-EEF520DB8988}">
      <formula1>"FIXA,VARIÁVEL"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DC6A86B-6AC2-421F-B9AA-B991B347901D}">
          <x14:formula1>
            <xm:f>Referencias!$A$1:$A$10</xm:f>
          </x14:formula1>
          <xm:sqref>F14:F19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E5405-B91D-4C75-8EBB-57C5E0F7D999}">
  <sheetPr codeName="Planilha10"/>
  <dimension ref="A1:AZ37"/>
  <sheetViews>
    <sheetView showGridLines="0" showRowColHeaders="0" zoomScale="70" zoomScaleNormal="70" workbookViewId="0">
      <pane ySplit="1" topLeftCell="A2" activePane="bottomLeft" state="frozen"/>
      <selection pane="bottomLeft" activeCell="A14" sqref="A14"/>
    </sheetView>
  </sheetViews>
  <sheetFormatPr defaultRowHeight="15"/>
  <cols>
    <col min="1" max="1" width="27.42578125" style="13" customWidth="1"/>
    <col min="2" max="2" width="28.7109375" style="13" customWidth="1"/>
    <col min="3" max="3" width="13.7109375" style="13" customWidth="1"/>
    <col min="4" max="4" width="18" style="13" customWidth="1"/>
    <col min="5" max="5" width="22.85546875" style="13" customWidth="1"/>
    <col min="6" max="6" width="24.7109375" style="13" customWidth="1"/>
    <col min="7" max="7" width="16.5703125" style="13" customWidth="1"/>
    <col min="8" max="8" width="16.42578125" style="13" customWidth="1"/>
    <col min="9" max="9" width="19.42578125" style="13" customWidth="1"/>
    <col min="10" max="10" width="24.7109375" style="13" customWidth="1"/>
    <col min="11" max="11" width="19.7109375" style="13" customWidth="1"/>
    <col min="12" max="12" width="18.140625" style="13" customWidth="1"/>
    <col min="13" max="13" width="15" style="13" customWidth="1"/>
    <col min="14" max="14" width="14.7109375" style="13" customWidth="1"/>
    <col min="15" max="15" width="21.5703125" style="13" customWidth="1"/>
    <col min="16" max="16384" width="9.140625" style="13"/>
  </cols>
  <sheetData>
    <row r="1" spans="1:52" ht="108" customHeight="1">
      <c r="A1" s="104" t="s">
        <v>60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42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Z1"/>
    </row>
    <row r="2" spans="1:52" ht="15" customHeigh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Z2"/>
    </row>
    <row r="3" spans="1:52" ht="15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AZ3"/>
    </row>
    <row r="4" spans="1:52" ht="15" customHeight="1" thickBo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</row>
    <row r="5" spans="1:52" ht="15" customHeight="1" thickBot="1">
      <c r="A5"/>
      <c r="B5" s="32" t="s">
        <v>0</v>
      </c>
      <c r="C5" s="109">
        <f>NOV!K8</f>
        <v>0</v>
      </c>
      <c r="D5" s="110"/>
      <c r="E5"/>
      <c r="F5" s="99" t="s">
        <v>2</v>
      </c>
      <c r="G5" s="101"/>
      <c r="H5"/>
      <c r="I5" s="99" t="s">
        <v>62</v>
      </c>
      <c r="J5" s="100"/>
      <c r="K5" s="101"/>
      <c r="L5"/>
      <c r="M5"/>
      <c r="N5"/>
      <c r="O5"/>
    </row>
    <row r="6" spans="1:52" ht="15" customHeight="1" thickBot="1">
      <c r="A6"/>
      <c r="B6" s="31" t="s">
        <v>1</v>
      </c>
      <c r="C6" s="102">
        <f>G9</f>
        <v>0</v>
      </c>
      <c r="D6" s="103"/>
      <c r="E6"/>
      <c r="F6" s="1" t="s">
        <v>0</v>
      </c>
      <c r="G6" s="14">
        <f>C5</f>
        <v>0</v>
      </c>
      <c r="H6"/>
      <c r="I6" s="9" t="s">
        <v>5</v>
      </c>
      <c r="J6" s="74">
        <v>0.45</v>
      </c>
      <c r="K6" s="2">
        <f>IF($G$10&lt;=0,0,($G$10*J6))</f>
        <v>0</v>
      </c>
      <c r="L6"/>
      <c r="M6"/>
      <c r="N6"/>
      <c r="O6"/>
    </row>
    <row r="7" spans="1:52" ht="15" customHeight="1">
      <c r="A7"/>
      <c r="E7"/>
      <c r="F7" s="1" t="s">
        <v>3</v>
      </c>
      <c r="G7" s="14">
        <f>M28</f>
        <v>0</v>
      </c>
      <c r="H7"/>
      <c r="I7" s="9" t="s">
        <v>6</v>
      </c>
      <c r="J7" s="74">
        <v>0.45</v>
      </c>
      <c r="K7" s="2">
        <f t="shared" ref="K7:K8" si="0">IF($G$10&lt;=0,0,($G$10*J7))</f>
        <v>0</v>
      </c>
      <c r="L7"/>
      <c r="M7"/>
      <c r="N7"/>
      <c r="O7"/>
    </row>
    <row r="8" spans="1:52">
      <c r="F8" s="1" t="s">
        <v>4</v>
      </c>
      <c r="G8" s="14">
        <f>F22+E36</f>
        <v>0</v>
      </c>
      <c r="I8" s="9" t="s">
        <v>21</v>
      </c>
      <c r="J8" s="74">
        <v>0.1</v>
      </c>
      <c r="K8" s="2">
        <f t="shared" si="0"/>
        <v>0</v>
      </c>
    </row>
    <row r="9" spans="1:52">
      <c r="F9" s="1" t="s">
        <v>1</v>
      </c>
      <c r="G9" s="14">
        <f>(G6+G8)-G7</f>
        <v>0</v>
      </c>
    </row>
    <row r="10" spans="1:52">
      <c r="F10" s="1" t="s">
        <v>63</v>
      </c>
      <c r="G10" s="14">
        <f>G8-G7</f>
        <v>0</v>
      </c>
      <c r="L10" s="15"/>
      <c r="O10" s="108"/>
      <c r="P10" s="108"/>
      <c r="Q10" s="108"/>
    </row>
    <row r="11" spans="1:52">
      <c r="P11" s="108"/>
      <c r="Q11" s="108"/>
    </row>
    <row r="12" spans="1:52" ht="48.75" customHeight="1">
      <c r="A12" s="111" t="s">
        <v>4</v>
      </c>
      <c r="B12" s="111"/>
      <c r="C12" s="111"/>
      <c r="D12" s="111"/>
      <c r="E12" s="111"/>
      <c r="F12" s="111"/>
      <c r="G12" s="111"/>
      <c r="I12" s="111" t="s">
        <v>17</v>
      </c>
      <c r="J12" s="111"/>
      <c r="K12" s="111"/>
      <c r="L12" s="111"/>
      <c r="M12" s="111"/>
      <c r="N12" s="111"/>
    </row>
    <row r="13" spans="1:52" ht="31.5" customHeight="1" thickBot="1">
      <c r="A13" s="17" t="s">
        <v>61</v>
      </c>
      <c r="B13" s="16" t="s">
        <v>7</v>
      </c>
      <c r="C13" s="17" t="s">
        <v>8</v>
      </c>
      <c r="D13" s="17" t="s">
        <v>9</v>
      </c>
      <c r="E13" s="17" t="s">
        <v>12</v>
      </c>
      <c r="F13" s="18" t="s">
        <v>11</v>
      </c>
      <c r="G13" s="19" t="s">
        <v>10</v>
      </c>
      <c r="I13" s="17" t="s">
        <v>61</v>
      </c>
      <c r="J13" s="16" t="s">
        <v>7</v>
      </c>
      <c r="K13" s="18" t="s">
        <v>13</v>
      </c>
      <c r="L13" s="18" t="s">
        <v>14</v>
      </c>
      <c r="M13" s="17" t="s">
        <v>16</v>
      </c>
      <c r="N13" s="20" t="s">
        <v>15</v>
      </c>
      <c r="O13"/>
    </row>
    <row r="14" spans="1:52" ht="15.75" thickBot="1">
      <c r="A14" s="57"/>
      <c r="B14" s="58"/>
      <c r="C14" s="61"/>
      <c r="D14" s="62"/>
      <c r="E14" s="63"/>
      <c r="F14" s="64"/>
      <c r="G14" s="21">
        <f>Tabela1414[[#This Row],[VALOR BRUTO]]*(1-Tabela1414[[#This Row],[DESCONTO]])</f>
        <v>0</v>
      </c>
      <c r="I14" s="66"/>
      <c r="J14" s="67"/>
      <c r="K14" s="69"/>
      <c r="L14" s="69"/>
      <c r="M14" s="70"/>
      <c r="N14" s="71"/>
      <c r="O14"/>
    </row>
    <row r="15" spans="1:52" ht="15" customHeight="1" thickBot="1">
      <c r="A15" s="58"/>
      <c r="B15" s="58"/>
      <c r="C15" s="61"/>
      <c r="D15" s="62"/>
      <c r="E15" s="63"/>
      <c r="F15" s="64"/>
      <c r="G15" s="21">
        <f>Tabela1414[[#This Row],[VALOR BRUTO]]*(1-Tabela1414[[#This Row],[DESCONTO]])</f>
        <v>0</v>
      </c>
      <c r="I15" s="67"/>
      <c r="J15" s="67"/>
      <c r="K15" s="69"/>
      <c r="L15" s="69"/>
      <c r="M15" s="70"/>
      <c r="N15" s="71"/>
    </row>
    <row r="16" spans="1:52" ht="15" customHeight="1" thickBot="1">
      <c r="A16" s="58"/>
      <c r="B16" s="58"/>
      <c r="C16" s="61"/>
      <c r="D16" s="62"/>
      <c r="E16" s="63"/>
      <c r="F16" s="64"/>
      <c r="G16" s="21">
        <f>Tabela1414[[#This Row],[VALOR BRUTO]]*(1-Tabela1414[[#This Row],[DESCONTO]])</f>
        <v>0</v>
      </c>
      <c r="I16" s="67"/>
      <c r="J16" s="67"/>
      <c r="K16" s="69"/>
      <c r="L16" s="69"/>
      <c r="M16" s="70"/>
      <c r="N16" s="71"/>
    </row>
    <row r="17" spans="1:19" ht="15" customHeight="1" thickBot="1">
      <c r="A17" s="58"/>
      <c r="B17" s="58"/>
      <c r="C17" s="61"/>
      <c r="D17" s="62"/>
      <c r="E17" s="63"/>
      <c r="F17" s="64"/>
      <c r="G17" s="21">
        <f>Tabela1414[[#This Row],[VALOR BRUTO]]*(1-Tabela1414[[#This Row],[DESCONTO]])</f>
        <v>0</v>
      </c>
      <c r="H17" s="15"/>
      <c r="I17" s="67"/>
      <c r="J17" s="67"/>
      <c r="K17" s="69"/>
      <c r="L17" s="69"/>
      <c r="M17" s="70"/>
      <c r="N17" s="71"/>
      <c r="O17" s="106"/>
      <c r="P17" s="107"/>
      <c r="Q17" s="107"/>
    </row>
    <row r="18" spans="1:19" ht="18" customHeight="1" thickBot="1">
      <c r="A18" s="58"/>
      <c r="B18" s="58"/>
      <c r="C18" s="61"/>
      <c r="D18" s="62"/>
      <c r="E18" s="63"/>
      <c r="F18" s="64"/>
      <c r="G18" s="21">
        <f>Tabela1414[[#This Row],[VALOR BRUTO]]*(1-Tabela1414[[#This Row],[DESCONTO]])</f>
        <v>0</v>
      </c>
      <c r="I18" s="67"/>
      <c r="J18" s="67"/>
      <c r="K18" s="69"/>
      <c r="L18" s="69"/>
      <c r="M18" s="70"/>
      <c r="N18" s="71"/>
      <c r="Q18" s="10"/>
      <c r="R18" s="11"/>
      <c r="S18" s="12"/>
    </row>
    <row r="19" spans="1:19" ht="15.75" thickBot="1">
      <c r="A19" s="59"/>
      <c r="B19" s="60"/>
      <c r="C19" s="61"/>
      <c r="D19" s="62"/>
      <c r="E19" s="63"/>
      <c r="F19" s="65"/>
      <c r="G19" s="21">
        <f>Tabela1414[[#This Row],[VALOR BRUTO]]*(1-Tabela1414[[#This Row],[DESCONTO]])</f>
        <v>0</v>
      </c>
      <c r="I19" s="68"/>
      <c r="J19" s="67"/>
      <c r="K19" s="69"/>
      <c r="L19" s="69"/>
      <c r="M19" s="70"/>
      <c r="N19" s="71"/>
      <c r="Q19" s="10"/>
      <c r="R19" s="11"/>
      <c r="S19" s="12"/>
    </row>
    <row r="20" spans="1:19">
      <c r="A20" s="22"/>
      <c r="B20" s="23"/>
      <c r="C20" s="24"/>
      <c r="D20" s="25"/>
      <c r="E20" s="22"/>
      <c r="F20" s="24"/>
      <c r="I20" s="27"/>
      <c r="J20" s="27"/>
      <c r="K20" s="26"/>
      <c r="L20" s="28"/>
      <c r="Q20" s="10"/>
      <c r="R20" s="11"/>
      <c r="S20" s="12"/>
    </row>
    <row r="22" spans="1:19" ht="31.5" thickBot="1">
      <c r="A22" s="29" t="s">
        <v>59</v>
      </c>
      <c r="B22" s="30"/>
      <c r="C22" s="30"/>
      <c r="D22" s="30"/>
      <c r="E22" s="40"/>
      <c r="F22" s="112">
        <f>SUMIF(Tabela1414[FORMA DE PAGAMENTO],Referencias!A1,Tabela1414[VALOR LÍQUIDO])+SUMIF(Tabela1414[FORMA DE PAGAMENTO],Referencias!A2,Tabela1414[VALOR LÍQUIDO])+SUMIF(Tabela1414[FORMA DE PAGAMENTO],Referencias!A9,Tabela1414[VALOR LÍQUIDO])+SUMIF(Tabela1414[FORMA DE PAGAMENTO],Referencias!A10,Tabela1414[VALOR LÍQUIDO])</f>
        <v>0</v>
      </c>
      <c r="G22" s="112"/>
      <c r="I22" s="29" t="s">
        <v>19</v>
      </c>
      <c r="J22" s="30"/>
      <c r="K22" s="30"/>
      <c r="L22" s="41"/>
      <c r="M22" s="114">
        <f>SUMIF(Tabela2515[TIPO],"FIXA",Tabela2515[VALOR])</f>
        <v>0</v>
      </c>
      <c r="N22" s="114"/>
    </row>
    <row r="23" spans="1:19" ht="15.75" thickTop="1">
      <c r="H23" s="26"/>
    </row>
    <row r="25" spans="1:19" ht="33" thickBot="1">
      <c r="A25" s="39" t="s">
        <v>54</v>
      </c>
      <c r="B25" s="30"/>
      <c r="C25" s="30"/>
      <c r="D25" s="30"/>
      <c r="E25" s="40"/>
      <c r="F25" s="114">
        <f>SUMIF(Tabela1414[FORMA DE PAGAMENTO],Referencias!A3,Tabela1414[VALOR LÍQUIDO])+SUMIF(Tabela1414[FORMA DE PAGAMENTO],Referencias!A4,Tabela1414[VALOR LÍQUIDO])+SUMIF(Tabela1414[FORMA DE PAGAMENTO],Referencias!A5,Tabela1414[VALOR LÍQUIDO])+SUMIF(Tabela1414[FORMA DE PAGAMENTO],Referencias!A6,Tabela1414[VALOR LÍQUIDO])+SUMIF(Tabela1414[FORMA DE PAGAMENTO],Referencias!A7,Tabela1414[VALOR LÍQUIDO])+SUMIF(Tabela1414[FORMA DE PAGAMENTO],Referencias!A8,Tabela1414[VALOR LÍQUIDO])</f>
        <v>0</v>
      </c>
      <c r="G25" s="114"/>
      <c r="I25" s="29" t="s">
        <v>20</v>
      </c>
      <c r="J25" s="30"/>
      <c r="K25" s="30"/>
      <c r="L25" s="41"/>
      <c r="M25" s="114">
        <f>SUMIF(Tabela2515[TIPO],"VARIÁVEL",Tabela2515[VALOR])</f>
        <v>0</v>
      </c>
      <c r="N25" s="114"/>
    </row>
    <row r="26" spans="1:19" ht="15.75" thickTop="1"/>
    <row r="28" spans="1:19" ht="33" thickBot="1">
      <c r="A28" s="111" t="s">
        <v>48</v>
      </c>
      <c r="B28" s="111"/>
      <c r="C28" s="111"/>
      <c r="D28" s="111"/>
      <c r="E28" s="111"/>
      <c r="F28" s="33"/>
      <c r="I28" s="29" t="s">
        <v>22</v>
      </c>
      <c r="J28" s="30"/>
      <c r="K28" s="30"/>
      <c r="L28" s="41"/>
      <c r="M28" s="114">
        <f>SUM(Tabela2515[VALOR])</f>
        <v>0</v>
      </c>
      <c r="N28" s="114"/>
    </row>
    <row r="29" spans="1:19" ht="27" thickTop="1">
      <c r="A29" s="35" t="s">
        <v>44</v>
      </c>
      <c r="B29" s="35" t="s">
        <v>9</v>
      </c>
      <c r="C29" s="35" t="s">
        <v>49</v>
      </c>
      <c r="D29" s="35" t="s">
        <v>50</v>
      </c>
      <c r="E29" s="35" t="s">
        <v>10</v>
      </c>
      <c r="F29" s="33"/>
    </row>
    <row r="30" spans="1:19" ht="23.25" customHeight="1">
      <c r="A30" s="43" t="s">
        <v>45</v>
      </c>
      <c r="B30" s="44">
        <f>SUMIF(Tabela1414[FORMA DE PAGAMENTO],Referencias!A3,Tabela1414[VALOR LÍQUIDO])</f>
        <v>0</v>
      </c>
      <c r="C30" s="72">
        <v>0.04</v>
      </c>
      <c r="D30" s="44">
        <f>B30*C30</f>
        <v>0</v>
      </c>
      <c r="E30" s="44">
        <f>B30-D30</f>
        <v>0</v>
      </c>
      <c r="F30" s="33"/>
    </row>
    <row r="31" spans="1:19" ht="18.75">
      <c r="A31" s="43" t="s">
        <v>46</v>
      </c>
      <c r="B31" s="44">
        <f>SUMIF(Tabela1414[FORMA DE PAGAMENTO],Referencias!A4,Tabela1414[VALOR LÍQUIDO])</f>
        <v>0</v>
      </c>
      <c r="C31" s="72">
        <v>0.04</v>
      </c>
      <c r="D31" s="44">
        <f t="shared" ref="D31:D35" si="1">B31*C31</f>
        <v>0</v>
      </c>
      <c r="E31" s="44">
        <f t="shared" ref="E31:E35" si="2">B31-D31</f>
        <v>0</v>
      </c>
      <c r="F31" s="34"/>
    </row>
    <row r="32" spans="1:19">
      <c r="A32" s="43" t="s">
        <v>47</v>
      </c>
      <c r="B32" s="44">
        <f>SUMIF(Tabela1414[FORMA DE PAGAMENTO],Referencias!A5,Tabela1414[VALOR LÍQUIDO])</f>
        <v>0</v>
      </c>
      <c r="C32" s="72">
        <v>0.04</v>
      </c>
      <c r="D32" s="44">
        <f t="shared" si="1"/>
        <v>0</v>
      </c>
      <c r="E32" s="44">
        <f t="shared" si="2"/>
        <v>0</v>
      </c>
    </row>
    <row r="33" spans="1:5">
      <c r="A33" s="43" t="s">
        <v>51</v>
      </c>
      <c r="B33" s="44">
        <f>SUMIF(Tabela1414[FORMA DE PAGAMENTO],Referencias!A6,Tabela1414[VALOR LÍQUIDO])</f>
        <v>0</v>
      </c>
      <c r="C33" s="72">
        <v>0.04</v>
      </c>
      <c r="D33" s="44">
        <f t="shared" si="1"/>
        <v>0</v>
      </c>
      <c r="E33" s="44">
        <f t="shared" si="2"/>
        <v>0</v>
      </c>
    </row>
    <row r="34" spans="1:5" ht="15.75" customHeight="1">
      <c r="A34" s="43" t="s">
        <v>52</v>
      </c>
      <c r="B34" s="44">
        <f>SUMIF(Tabela1414[FORMA DE PAGAMENTO],Referencias!A7,Tabela1414[VALOR LÍQUIDO])</f>
        <v>0</v>
      </c>
      <c r="C34" s="72">
        <v>0.04</v>
      </c>
      <c r="D34" s="44">
        <f t="shared" si="1"/>
        <v>0</v>
      </c>
      <c r="E34" s="44">
        <f t="shared" si="2"/>
        <v>0</v>
      </c>
    </row>
    <row r="35" spans="1:5" ht="15" customHeight="1">
      <c r="A35" s="43" t="s">
        <v>53</v>
      </c>
      <c r="B35" s="44">
        <f>SUMIF(Tabela1414[FORMA DE PAGAMENTO],Referencias!A8,Tabela1414[VALOR LÍQUIDO])</f>
        <v>0</v>
      </c>
      <c r="C35" s="73">
        <v>0.04</v>
      </c>
      <c r="D35" s="49">
        <f t="shared" si="1"/>
        <v>0</v>
      </c>
      <c r="E35" s="49">
        <f t="shared" si="2"/>
        <v>0</v>
      </c>
    </row>
    <row r="36" spans="1:5" ht="19.5" customHeight="1">
      <c r="C36" s="51" t="s">
        <v>18</v>
      </c>
      <c r="D36" s="50">
        <f>SUM(D30:D35)</f>
        <v>0</v>
      </c>
      <c r="E36" s="50">
        <f>SUM(E30:E35)</f>
        <v>0</v>
      </c>
    </row>
    <row r="37" spans="1:5" ht="19.5" customHeight="1"/>
  </sheetData>
  <sheetProtection sheet="1" objects="1" scenarios="1" selectLockedCells="1"/>
  <mergeCells count="16">
    <mergeCell ref="F25:G25"/>
    <mergeCell ref="M25:N25"/>
    <mergeCell ref="A28:E28"/>
    <mergeCell ref="M28:N28"/>
    <mergeCell ref="P11:Q11"/>
    <mergeCell ref="A12:G12"/>
    <mergeCell ref="I12:N12"/>
    <mergeCell ref="O17:Q17"/>
    <mergeCell ref="F22:G22"/>
    <mergeCell ref="M22:N22"/>
    <mergeCell ref="O10:Q10"/>
    <mergeCell ref="A1:O1"/>
    <mergeCell ref="C5:D5"/>
    <mergeCell ref="F5:G5"/>
    <mergeCell ref="I5:K5"/>
    <mergeCell ref="C6:D6"/>
  </mergeCells>
  <conditionalFormatting sqref="G9">
    <cfRule type="cellIs" dxfId="161" priority="3" operator="greaterThan">
      <formula>0</formula>
    </cfRule>
    <cfRule type="cellIs" dxfId="160" priority="4" stopIfTrue="1" operator="lessThan">
      <formula>0</formula>
    </cfRule>
  </conditionalFormatting>
  <conditionalFormatting sqref="G10">
    <cfRule type="cellIs" dxfId="159" priority="1" operator="greaterThan">
      <formula>0</formula>
    </cfRule>
    <cfRule type="cellIs" dxfId="158" priority="2" operator="lessThan">
      <formula>0</formula>
    </cfRule>
  </conditionalFormatting>
  <dataValidations count="2">
    <dataValidation type="date" operator="greaterThan" allowBlank="1" showInputMessage="1" showErrorMessage="1" sqref="B20 K18:L19 I20:J20" xr:uid="{C80B1944-27CE-44A6-9214-FC31203D1CD8}">
      <formula1>44348</formula1>
    </dataValidation>
    <dataValidation type="list" operator="greaterThanOrEqual" allowBlank="1" showInputMessage="1" showErrorMessage="1" sqref="K20 M14:M19" xr:uid="{A43E01A5-E6E5-476F-B73F-03B452265DDA}">
      <formula1>"FIXA,VARIÁVEL"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961362C-4880-44BE-B8DA-C52319D75DDD}">
          <x14:formula1>
            <xm:f>Referencias!$A$1:$A$10</xm:f>
          </x14:formula1>
          <xm:sqref>F14:F19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B41A8-8EF5-4B09-8F6E-1C33020576CA}">
  <sheetPr codeName="Planilha11"/>
  <dimension ref="A1:AZ37"/>
  <sheetViews>
    <sheetView showGridLines="0" showRowColHeaders="0" zoomScale="70" zoomScaleNormal="70" workbookViewId="0">
      <pane ySplit="1" topLeftCell="A11" activePane="bottomLeft" state="frozen"/>
      <selection pane="bottomLeft" activeCell="D16" sqref="D16"/>
    </sheetView>
  </sheetViews>
  <sheetFormatPr defaultRowHeight="15"/>
  <cols>
    <col min="1" max="1" width="27.42578125" style="13" customWidth="1"/>
    <col min="2" max="2" width="28.7109375" style="13" customWidth="1"/>
    <col min="3" max="3" width="13.7109375" style="13" customWidth="1"/>
    <col min="4" max="4" width="18" style="13" customWidth="1"/>
    <col min="5" max="5" width="22.85546875" style="13" customWidth="1"/>
    <col min="6" max="6" width="24.7109375" style="13" customWidth="1"/>
    <col min="7" max="7" width="16.5703125" style="13" customWidth="1"/>
    <col min="8" max="8" width="16.42578125" style="13" customWidth="1"/>
    <col min="9" max="9" width="19.42578125" style="13" customWidth="1"/>
    <col min="10" max="10" width="24.7109375" style="13" customWidth="1"/>
    <col min="11" max="11" width="19.7109375" style="13" customWidth="1"/>
    <col min="12" max="12" width="18.140625" style="13" customWidth="1"/>
    <col min="13" max="13" width="15" style="13" customWidth="1"/>
    <col min="14" max="14" width="14.7109375" style="13" customWidth="1"/>
    <col min="15" max="15" width="21.5703125" style="13" customWidth="1"/>
    <col min="16" max="16384" width="9.140625" style="13"/>
  </cols>
  <sheetData>
    <row r="1" spans="1:52" ht="108" customHeight="1">
      <c r="A1" s="104" t="s">
        <v>60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42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Z1"/>
    </row>
    <row r="2" spans="1:52" ht="15" customHeigh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Z2"/>
    </row>
    <row r="3" spans="1:52" ht="15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AZ3"/>
    </row>
    <row r="4" spans="1:52" ht="15" customHeight="1" thickBo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</row>
    <row r="5" spans="1:52" ht="15" customHeight="1" thickBot="1">
      <c r="A5"/>
      <c r="B5" s="32" t="s">
        <v>0</v>
      </c>
      <c r="C5" s="109">
        <f>DEZ!K8</f>
        <v>0</v>
      </c>
      <c r="D5" s="110"/>
      <c r="E5"/>
      <c r="F5" s="99" t="s">
        <v>2</v>
      </c>
      <c r="G5" s="101"/>
      <c r="H5"/>
      <c r="I5" s="99" t="s">
        <v>62</v>
      </c>
      <c r="J5" s="100"/>
      <c r="K5" s="101"/>
      <c r="L5"/>
      <c r="M5"/>
      <c r="N5"/>
      <c r="O5"/>
    </row>
    <row r="6" spans="1:52" ht="15" customHeight="1" thickBot="1">
      <c r="A6"/>
      <c r="B6" s="31" t="s">
        <v>1</v>
      </c>
      <c r="C6" s="102">
        <f>G9</f>
        <v>0</v>
      </c>
      <c r="D6" s="103"/>
      <c r="E6"/>
      <c r="F6" s="1" t="s">
        <v>0</v>
      </c>
      <c r="G6" s="14">
        <f>C5</f>
        <v>0</v>
      </c>
      <c r="H6"/>
      <c r="I6" s="9" t="s">
        <v>5</v>
      </c>
      <c r="J6" s="74">
        <v>0.45</v>
      </c>
      <c r="K6" s="2">
        <f>IF($G$10&lt;=0,0,($G$10*J6))</f>
        <v>0</v>
      </c>
      <c r="L6"/>
      <c r="M6"/>
      <c r="N6"/>
      <c r="O6"/>
    </row>
    <row r="7" spans="1:52" ht="15" customHeight="1">
      <c r="A7"/>
      <c r="E7"/>
      <c r="F7" s="1" t="s">
        <v>3</v>
      </c>
      <c r="G7" s="14">
        <f>M28</f>
        <v>0</v>
      </c>
      <c r="H7"/>
      <c r="I7" s="9" t="s">
        <v>6</v>
      </c>
      <c r="J7" s="74">
        <v>0.45</v>
      </c>
      <c r="K7" s="2">
        <f t="shared" ref="K7:K8" si="0">IF($G$10&lt;=0,0,($G$10*J7))</f>
        <v>0</v>
      </c>
      <c r="L7"/>
      <c r="M7"/>
      <c r="N7"/>
      <c r="O7"/>
    </row>
    <row r="8" spans="1:52">
      <c r="F8" s="1" t="s">
        <v>4</v>
      </c>
      <c r="G8" s="14">
        <f>F23+E37</f>
        <v>0</v>
      </c>
      <c r="I8" s="9" t="s">
        <v>21</v>
      </c>
      <c r="J8" s="74">
        <v>0.1</v>
      </c>
      <c r="K8" s="2">
        <f t="shared" si="0"/>
        <v>0</v>
      </c>
    </row>
    <row r="9" spans="1:52">
      <c r="F9" s="1" t="s">
        <v>1</v>
      </c>
      <c r="G9" s="14">
        <f>(G6+G8)-G7</f>
        <v>0</v>
      </c>
    </row>
    <row r="10" spans="1:52">
      <c r="F10" s="1" t="s">
        <v>63</v>
      </c>
      <c r="G10" s="14">
        <f>G8-G7</f>
        <v>0</v>
      </c>
      <c r="L10" s="15"/>
      <c r="O10" s="108"/>
      <c r="P10" s="108"/>
      <c r="Q10" s="108"/>
    </row>
    <row r="11" spans="1:52">
      <c r="P11" s="108"/>
      <c r="Q11" s="108"/>
    </row>
    <row r="12" spans="1:52" ht="48.75" customHeight="1">
      <c r="A12" s="111" t="s">
        <v>4</v>
      </c>
      <c r="B12" s="111"/>
      <c r="C12" s="111"/>
      <c r="D12" s="111"/>
      <c r="E12" s="111"/>
      <c r="F12" s="111"/>
      <c r="G12" s="111"/>
      <c r="I12" s="111" t="s">
        <v>17</v>
      </c>
      <c r="J12" s="111"/>
      <c r="K12" s="111"/>
      <c r="L12" s="111"/>
      <c r="M12" s="111"/>
      <c r="N12" s="111"/>
    </row>
    <row r="13" spans="1:52" ht="31.5" customHeight="1" thickBot="1">
      <c r="A13" s="17" t="s">
        <v>61</v>
      </c>
      <c r="B13" s="16" t="s">
        <v>7</v>
      </c>
      <c r="C13" s="17" t="s">
        <v>8</v>
      </c>
      <c r="D13" s="17" t="s">
        <v>9</v>
      </c>
      <c r="E13" s="17" t="s">
        <v>12</v>
      </c>
      <c r="F13" s="18" t="s">
        <v>11</v>
      </c>
      <c r="G13" s="19" t="s">
        <v>10</v>
      </c>
      <c r="I13" s="17" t="s">
        <v>61</v>
      </c>
      <c r="J13" s="16" t="s">
        <v>7</v>
      </c>
      <c r="K13" s="18" t="s">
        <v>13</v>
      </c>
      <c r="L13" s="18" t="s">
        <v>14</v>
      </c>
      <c r="M13" s="17" t="s">
        <v>16</v>
      </c>
      <c r="N13" s="20" t="s">
        <v>15</v>
      </c>
      <c r="O13"/>
    </row>
    <row r="14" spans="1:52" ht="15.75" thickBot="1">
      <c r="A14" s="75"/>
      <c r="B14" s="76"/>
      <c r="C14" s="87"/>
      <c r="D14" s="62"/>
      <c r="E14" s="63"/>
      <c r="F14" s="64"/>
      <c r="G14" s="21">
        <f>Tabela1416[[#This Row],[VALOR BRUTO]]*(1-Tabela1416[[#This Row],[DESCONTO]])</f>
        <v>0</v>
      </c>
      <c r="I14" s="66"/>
      <c r="J14" s="67"/>
      <c r="K14" s="69"/>
      <c r="L14" s="69"/>
      <c r="M14" s="70"/>
      <c r="N14" s="71"/>
      <c r="O14"/>
    </row>
    <row r="15" spans="1:52" ht="15" customHeight="1" thickBot="1">
      <c r="A15" s="57"/>
      <c r="B15" s="58"/>
      <c r="C15" s="61"/>
      <c r="D15" s="62"/>
      <c r="E15" s="63"/>
      <c r="F15" s="64" t="s">
        <v>58</v>
      </c>
      <c r="G15" s="21">
        <f>Tabela1416[[#This Row],[VALOR BRUTO]]*(1-Tabela1416[[#This Row],[DESCONTO]])</f>
        <v>0</v>
      </c>
      <c r="I15" s="67"/>
      <c r="J15" s="67"/>
      <c r="K15" s="69"/>
      <c r="L15" s="69"/>
      <c r="M15" s="70"/>
      <c r="N15" s="71"/>
    </row>
    <row r="16" spans="1:52" ht="15" customHeight="1" thickBot="1">
      <c r="A16" s="58"/>
      <c r="B16" s="58"/>
      <c r="C16" s="61"/>
      <c r="D16" s="62"/>
      <c r="E16" s="63"/>
      <c r="F16" s="64"/>
      <c r="G16" s="21">
        <f>Tabela1416[[#This Row],[VALOR BRUTO]]*(1-Tabela1416[[#This Row],[DESCONTO]])</f>
        <v>0</v>
      </c>
      <c r="I16" s="67"/>
      <c r="J16" s="67"/>
      <c r="K16" s="69"/>
      <c r="L16" s="69"/>
      <c r="M16" s="70"/>
      <c r="N16" s="71"/>
    </row>
    <row r="17" spans="1:19" ht="15" customHeight="1" thickBot="1">
      <c r="A17" s="58"/>
      <c r="B17" s="58"/>
      <c r="C17" s="61"/>
      <c r="D17" s="62"/>
      <c r="E17" s="63"/>
      <c r="F17" s="64"/>
      <c r="G17" s="21">
        <f>Tabela1416[[#This Row],[VALOR BRUTO]]*(1-Tabela1416[[#This Row],[DESCONTO]])</f>
        <v>0</v>
      </c>
      <c r="H17" s="15"/>
      <c r="I17" s="67"/>
      <c r="J17" s="67"/>
      <c r="K17" s="69"/>
      <c r="L17" s="69"/>
      <c r="M17" s="70"/>
      <c r="N17" s="71"/>
      <c r="O17" s="106"/>
      <c r="P17" s="107"/>
      <c r="Q17" s="107"/>
    </row>
    <row r="18" spans="1:19" ht="18" customHeight="1" thickBot="1">
      <c r="A18" s="58"/>
      <c r="B18" s="58"/>
      <c r="C18" s="61"/>
      <c r="D18" s="62"/>
      <c r="E18" s="63"/>
      <c r="F18" s="64"/>
      <c r="G18" s="21">
        <f>Tabela1416[[#This Row],[VALOR BRUTO]]*(1-Tabela1416[[#This Row],[DESCONTO]])</f>
        <v>0</v>
      </c>
      <c r="I18" s="67"/>
      <c r="J18" s="67"/>
      <c r="K18" s="69"/>
      <c r="L18" s="69"/>
      <c r="M18" s="70"/>
      <c r="N18" s="71"/>
      <c r="Q18" s="10"/>
      <c r="R18" s="11"/>
      <c r="S18" s="12"/>
    </row>
    <row r="19" spans="1:19" ht="15.75" thickBot="1">
      <c r="A19" s="58"/>
      <c r="B19" s="58"/>
      <c r="C19" s="61"/>
      <c r="D19" s="62"/>
      <c r="E19" s="63"/>
      <c r="F19" s="64"/>
      <c r="G19" s="21">
        <f>Tabela1416[[#This Row],[VALOR BRUTO]]*(1-Tabela1416[[#This Row],[DESCONTO]])</f>
        <v>0</v>
      </c>
      <c r="I19" s="68"/>
      <c r="J19" s="67"/>
      <c r="K19" s="69"/>
      <c r="L19" s="69"/>
      <c r="M19" s="70"/>
      <c r="N19" s="71"/>
      <c r="Q19" s="10"/>
      <c r="R19" s="11"/>
      <c r="S19" s="12"/>
    </row>
    <row r="20" spans="1:19" ht="15.75" thickBot="1">
      <c r="A20" s="59"/>
      <c r="B20" s="60"/>
      <c r="C20" s="61"/>
      <c r="D20" s="62"/>
      <c r="E20" s="63"/>
      <c r="F20" s="65"/>
      <c r="G20" s="21">
        <f>Tabela1416[[#This Row],[VALOR BRUTO]]*(1-Tabela1416[[#This Row],[DESCONTO]])</f>
        <v>0</v>
      </c>
      <c r="I20" s="27"/>
      <c r="J20" s="27"/>
      <c r="K20" s="26"/>
      <c r="L20" s="28"/>
      <c r="Q20" s="10"/>
      <c r="R20" s="11"/>
      <c r="S20" s="12"/>
    </row>
    <row r="21" spans="1:19">
      <c r="A21" s="22"/>
      <c r="B21" s="23"/>
      <c r="C21" s="24"/>
      <c r="D21" s="25"/>
      <c r="E21" s="22"/>
      <c r="F21" s="24"/>
    </row>
    <row r="22" spans="1:19" ht="31.5" thickBot="1">
      <c r="I22" s="29" t="s">
        <v>19</v>
      </c>
      <c r="J22" s="30"/>
      <c r="K22" s="30"/>
      <c r="L22" s="41"/>
      <c r="M22" s="114">
        <f>SUMIF(Tabela2517[TIPO],"FIXA",Tabela2517[VALOR])</f>
        <v>0</v>
      </c>
      <c r="N22" s="114"/>
    </row>
    <row r="23" spans="1:19" ht="32.25" thickTop="1" thickBot="1">
      <c r="A23" s="29" t="s">
        <v>59</v>
      </c>
      <c r="B23" s="30"/>
      <c r="C23" s="30"/>
      <c r="D23" s="30"/>
      <c r="E23" s="40"/>
      <c r="F23" s="112">
        <f>SUMIF(Tabela1416[FORMA DE PAGAMENTO],Referencias!A1,Tabela1416[VALOR LÍQUIDO])+SUMIF(Tabela1416[FORMA DE PAGAMENTO],Referencias!A2,Tabela1416[VALOR LÍQUIDO])+SUMIF(Tabela1416[FORMA DE PAGAMENTO],Referencias!A9,Tabela1416[VALOR LÍQUIDO])+SUMIF(Tabela1416[FORMA DE PAGAMENTO],Referencias!A10,Tabela1416[VALOR LÍQUIDO])</f>
        <v>0</v>
      </c>
      <c r="G23" s="112"/>
      <c r="H23" s="26"/>
    </row>
    <row r="24" spans="1:19" ht="15.75" thickTop="1"/>
    <row r="25" spans="1:19" ht="33" thickBot="1">
      <c r="I25" s="29" t="s">
        <v>20</v>
      </c>
      <c r="J25" s="30"/>
      <c r="K25" s="30"/>
      <c r="L25" s="41"/>
      <c r="M25" s="114">
        <f>SUMIF(Tabela2517[TIPO],"VARIÁVEL",Tabela2517[VALOR])</f>
        <v>0</v>
      </c>
      <c r="N25" s="114"/>
    </row>
    <row r="26" spans="1:19" ht="31.5" thickTop="1" thickBot="1">
      <c r="A26" s="39" t="s">
        <v>54</v>
      </c>
      <c r="B26" s="30"/>
      <c r="C26" s="30"/>
      <c r="D26" s="30"/>
      <c r="E26" s="40"/>
      <c r="F26" s="114">
        <f>SUMIF(Tabela1416[FORMA DE PAGAMENTO],Referencias!A3,Tabela1416[VALOR LÍQUIDO])+SUMIF(Tabela1416[FORMA DE PAGAMENTO],Referencias!A4,Tabela1416[VALOR LÍQUIDO])+SUMIF(Tabela1416[FORMA DE PAGAMENTO],Referencias!A5,Tabela1416[VALOR LÍQUIDO])+SUMIF(Tabela1416[FORMA DE PAGAMENTO],Referencias!A6,Tabela1416[VALOR LÍQUIDO])+SUMIF(Tabela1416[FORMA DE PAGAMENTO],Referencias!A7,Tabela1416[VALOR LÍQUIDO])+SUMIF(Tabela1416[FORMA DE PAGAMENTO],Referencias!A8,Tabela1416[VALOR LÍQUIDO])</f>
        <v>0</v>
      </c>
      <c r="G26" s="114"/>
    </row>
    <row r="27" spans="1:19" ht="15.75" thickTop="1"/>
    <row r="28" spans="1:19" ht="31.5" thickBot="1">
      <c r="I28" s="29" t="s">
        <v>22</v>
      </c>
      <c r="J28" s="30"/>
      <c r="K28" s="30"/>
      <c r="L28" s="41"/>
      <c r="M28" s="114">
        <f>SUM(Tabela2517[VALOR])</f>
        <v>0</v>
      </c>
      <c r="N28" s="114"/>
    </row>
    <row r="29" spans="1:19" ht="27" thickTop="1">
      <c r="A29" s="111" t="s">
        <v>48</v>
      </c>
      <c r="B29" s="111"/>
      <c r="C29" s="111"/>
      <c r="D29" s="111"/>
      <c r="E29" s="111"/>
      <c r="F29" s="33"/>
    </row>
    <row r="30" spans="1:19" ht="23.25" customHeight="1">
      <c r="A30" s="35" t="s">
        <v>44</v>
      </c>
      <c r="B30" s="35" t="s">
        <v>9</v>
      </c>
      <c r="C30" s="35" t="s">
        <v>49</v>
      </c>
      <c r="D30" s="35" t="s">
        <v>50</v>
      </c>
      <c r="E30" s="35" t="s">
        <v>10</v>
      </c>
      <c r="F30" s="33"/>
    </row>
    <row r="31" spans="1:19" ht="26.25">
      <c r="A31" s="43" t="s">
        <v>45</v>
      </c>
      <c r="B31" s="44">
        <f>SUMIF(Tabela1416[FORMA DE PAGAMENTO],Referencias!A3,Tabela1416[VALOR LÍQUIDO])</f>
        <v>0</v>
      </c>
      <c r="C31" s="72">
        <v>0.04</v>
      </c>
      <c r="D31" s="44">
        <f>B31*C31</f>
        <v>0</v>
      </c>
      <c r="E31" s="44">
        <f>B31-D31</f>
        <v>0</v>
      </c>
      <c r="F31" s="33"/>
    </row>
    <row r="32" spans="1:19" ht="18.75">
      <c r="A32" s="43" t="s">
        <v>46</v>
      </c>
      <c r="B32" s="44">
        <f>SUMIF(Tabela1416[FORMA DE PAGAMENTO],Referencias!A4,Tabela1416[VALOR LÍQUIDO])</f>
        <v>0</v>
      </c>
      <c r="C32" s="72">
        <v>0.04</v>
      </c>
      <c r="D32" s="44">
        <f t="shared" ref="D32:D36" si="1">B32*C32</f>
        <v>0</v>
      </c>
      <c r="E32" s="44">
        <f t="shared" ref="E32:E36" si="2">B32-D32</f>
        <v>0</v>
      </c>
      <c r="F32" s="34"/>
    </row>
    <row r="33" spans="1:5">
      <c r="A33" s="43" t="s">
        <v>47</v>
      </c>
      <c r="B33" s="44">
        <f>SUMIF(Tabela1416[FORMA DE PAGAMENTO],Referencias!A5,Tabela1416[VALOR LÍQUIDO])</f>
        <v>0</v>
      </c>
      <c r="C33" s="72">
        <v>0.04</v>
      </c>
      <c r="D33" s="44">
        <f t="shared" si="1"/>
        <v>0</v>
      </c>
      <c r="E33" s="44">
        <f t="shared" si="2"/>
        <v>0</v>
      </c>
    </row>
    <row r="34" spans="1:5" ht="15.75" customHeight="1">
      <c r="A34" s="43" t="s">
        <v>51</v>
      </c>
      <c r="B34" s="44">
        <f>SUMIF(Tabela1416[FORMA DE PAGAMENTO],Referencias!A6,Tabela1416[VALOR LÍQUIDO])</f>
        <v>0</v>
      </c>
      <c r="C34" s="72">
        <v>0.04</v>
      </c>
      <c r="D34" s="44">
        <f t="shared" si="1"/>
        <v>0</v>
      </c>
      <c r="E34" s="44">
        <f t="shared" si="2"/>
        <v>0</v>
      </c>
    </row>
    <row r="35" spans="1:5" ht="15" customHeight="1">
      <c r="A35" s="43" t="s">
        <v>52</v>
      </c>
      <c r="B35" s="44">
        <f>SUMIF(Tabela1416[FORMA DE PAGAMENTO],Referencias!A7,Tabela1416[VALOR LÍQUIDO])</f>
        <v>0</v>
      </c>
      <c r="C35" s="72">
        <v>0.04</v>
      </c>
      <c r="D35" s="44">
        <f t="shared" si="1"/>
        <v>0</v>
      </c>
      <c r="E35" s="44">
        <f t="shared" si="2"/>
        <v>0</v>
      </c>
    </row>
    <row r="36" spans="1:5" ht="19.5" customHeight="1">
      <c r="A36" s="43" t="s">
        <v>53</v>
      </c>
      <c r="B36" s="44">
        <f>SUMIF(Tabela1416[FORMA DE PAGAMENTO],Referencias!A8,Tabela1416[VALOR LÍQUIDO])</f>
        <v>0</v>
      </c>
      <c r="C36" s="73">
        <v>0.04</v>
      </c>
      <c r="D36" s="49">
        <f t="shared" si="1"/>
        <v>0</v>
      </c>
      <c r="E36" s="49">
        <f t="shared" si="2"/>
        <v>0</v>
      </c>
    </row>
    <row r="37" spans="1:5" ht="19.5" customHeight="1">
      <c r="C37" s="51" t="s">
        <v>18</v>
      </c>
      <c r="D37" s="50">
        <f>SUM(D31:D36)</f>
        <v>0</v>
      </c>
      <c r="E37" s="50">
        <f>SUM(E31:E36)</f>
        <v>0</v>
      </c>
    </row>
  </sheetData>
  <sheetProtection sheet="1" objects="1" scenarios="1" selectLockedCells="1"/>
  <mergeCells count="16">
    <mergeCell ref="F26:G26"/>
    <mergeCell ref="M25:N25"/>
    <mergeCell ref="A29:E29"/>
    <mergeCell ref="M28:N28"/>
    <mergeCell ref="P11:Q11"/>
    <mergeCell ref="A12:G12"/>
    <mergeCell ref="I12:N12"/>
    <mergeCell ref="O17:Q17"/>
    <mergeCell ref="F23:G23"/>
    <mergeCell ref="M22:N22"/>
    <mergeCell ref="O10:Q10"/>
    <mergeCell ref="A1:O1"/>
    <mergeCell ref="C5:D5"/>
    <mergeCell ref="F5:G5"/>
    <mergeCell ref="I5:K5"/>
    <mergeCell ref="C6:D6"/>
  </mergeCells>
  <conditionalFormatting sqref="G9">
    <cfRule type="cellIs" dxfId="134" priority="3" operator="greaterThan">
      <formula>0</formula>
    </cfRule>
    <cfRule type="cellIs" dxfId="133" priority="4" stopIfTrue="1" operator="lessThan">
      <formula>0</formula>
    </cfRule>
  </conditionalFormatting>
  <conditionalFormatting sqref="G10">
    <cfRule type="cellIs" dxfId="132" priority="1" operator="greaterThan">
      <formula>0</formula>
    </cfRule>
    <cfRule type="cellIs" dxfId="131" priority="2" operator="lessThan">
      <formula>0</formula>
    </cfRule>
  </conditionalFormatting>
  <dataValidations count="2">
    <dataValidation type="date" operator="greaterThan" allowBlank="1" showInputMessage="1" showErrorMessage="1" sqref="B21 K18:L19 I20:J20" xr:uid="{71968DF0-C7E7-46B2-8A48-0C441C47DA95}">
      <formula1>44348</formula1>
    </dataValidation>
    <dataValidation type="list" operator="greaterThanOrEqual" allowBlank="1" showInputMessage="1" showErrorMessage="1" sqref="K20 M14:M19" xr:uid="{A8CC0B5C-E738-48DC-ABBA-D44789A72068}">
      <formula1>"FIXA,VARIÁVEL"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93559C4-080D-4E57-88F4-90EBB270A607}">
          <x14:formula1>
            <xm:f>Referencias!$A$1:$A$10</xm:f>
          </x14:formula1>
          <xm:sqref>F14:F20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8A146-0634-4997-89AE-6E2DEF10EDE4}">
  <sheetPr codeName="Planilha12"/>
  <dimension ref="A1:AZ37"/>
  <sheetViews>
    <sheetView showGridLines="0" showRowColHeaders="0" zoomScale="70" zoomScaleNormal="7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7.42578125" style="13" customWidth="1"/>
    <col min="2" max="2" width="28.7109375" style="13" customWidth="1"/>
    <col min="3" max="3" width="13.7109375" style="13" customWidth="1"/>
    <col min="4" max="4" width="18" style="13" customWidth="1"/>
    <col min="5" max="5" width="22.85546875" style="13" customWidth="1"/>
    <col min="6" max="6" width="24.7109375" style="13" customWidth="1"/>
    <col min="7" max="7" width="16.5703125" style="13" customWidth="1"/>
    <col min="8" max="8" width="16.42578125" style="13" customWidth="1"/>
    <col min="9" max="9" width="19.42578125" style="13" customWidth="1"/>
    <col min="10" max="10" width="24.7109375" style="13" customWidth="1"/>
    <col min="11" max="11" width="19.7109375" style="13" customWidth="1"/>
    <col min="12" max="12" width="18.140625" style="13" customWidth="1"/>
    <col min="13" max="13" width="15" style="13" customWidth="1"/>
    <col min="14" max="14" width="14.7109375" style="13" customWidth="1"/>
    <col min="15" max="15" width="21.5703125" style="13" customWidth="1"/>
    <col min="16" max="16384" width="9.140625" style="13"/>
  </cols>
  <sheetData>
    <row r="1" spans="1:52" ht="108" customHeight="1">
      <c r="A1" s="104" t="s">
        <v>60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42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Z1"/>
    </row>
    <row r="2" spans="1:52" ht="15" customHeigh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Z2"/>
    </row>
    <row r="3" spans="1:52" ht="15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AZ3"/>
    </row>
    <row r="4" spans="1:52" ht="15" customHeight="1" thickBo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</row>
    <row r="5" spans="1:52" ht="15" customHeight="1" thickBot="1">
      <c r="A5"/>
      <c r="B5" s="32" t="s">
        <v>0</v>
      </c>
      <c r="C5" s="109">
        <f>JAN!K8</f>
        <v>0</v>
      </c>
      <c r="D5" s="110"/>
      <c r="E5"/>
      <c r="F5" s="99" t="s">
        <v>2</v>
      </c>
      <c r="G5" s="101"/>
      <c r="H5"/>
      <c r="I5" s="99" t="s">
        <v>62</v>
      </c>
      <c r="J5" s="100"/>
      <c r="K5" s="101"/>
      <c r="L5"/>
      <c r="M5"/>
      <c r="N5"/>
      <c r="O5"/>
    </row>
    <row r="6" spans="1:52" ht="15" customHeight="1" thickBot="1">
      <c r="A6"/>
      <c r="B6" s="31" t="s">
        <v>1</v>
      </c>
      <c r="C6" s="102">
        <f>G9</f>
        <v>0</v>
      </c>
      <c r="D6" s="103"/>
      <c r="E6"/>
      <c r="F6" s="1" t="s">
        <v>0</v>
      </c>
      <c r="G6" s="14">
        <f>C5</f>
        <v>0</v>
      </c>
      <c r="H6"/>
      <c r="I6" s="9" t="s">
        <v>5</v>
      </c>
      <c r="J6" s="74">
        <v>0.45</v>
      </c>
      <c r="K6" s="2">
        <f>IF($G$10&lt;=0,0,($G$10*J6))</f>
        <v>0</v>
      </c>
      <c r="L6"/>
      <c r="M6"/>
      <c r="N6"/>
      <c r="O6"/>
    </row>
    <row r="7" spans="1:52" ht="15" customHeight="1">
      <c r="A7"/>
      <c r="E7"/>
      <c r="F7" s="1" t="s">
        <v>3</v>
      </c>
      <c r="G7" s="14">
        <f>M28</f>
        <v>0</v>
      </c>
      <c r="H7"/>
      <c r="I7" s="9" t="s">
        <v>6</v>
      </c>
      <c r="J7" s="74">
        <v>0.45</v>
      </c>
      <c r="K7" s="2">
        <f t="shared" ref="K7:K8" si="0">IF($G$10&lt;=0,0,($G$10*J7))</f>
        <v>0</v>
      </c>
      <c r="L7"/>
      <c r="M7"/>
      <c r="N7"/>
      <c r="O7"/>
    </row>
    <row r="8" spans="1:52">
      <c r="F8" s="1" t="s">
        <v>4</v>
      </c>
      <c r="G8" s="14">
        <f>F22+E36</f>
        <v>0</v>
      </c>
      <c r="I8" s="9" t="s">
        <v>21</v>
      </c>
      <c r="J8" s="74">
        <v>0.1</v>
      </c>
      <c r="K8" s="2">
        <f t="shared" si="0"/>
        <v>0</v>
      </c>
    </row>
    <row r="9" spans="1:52">
      <c r="F9" s="1" t="s">
        <v>1</v>
      </c>
      <c r="G9" s="14">
        <f>(G6+G8)-G7</f>
        <v>0</v>
      </c>
    </row>
    <row r="10" spans="1:52">
      <c r="F10" s="1" t="s">
        <v>63</v>
      </c>
      <c r="G10" s="14">
        <f>G8-G7</f>
        <v>0</v>
      </c>
      <c r="L10" s="15"/>
      <c r="O10" s="108"/>
      <c r="P10" s="108"/>
      <c r="Q10" s="108"/>
    </row>
    <row r="11" spans="1:52">
      <c r="P11" s="108"/>
      <c r="Q11" s="108"/>
    </row>
    <row r="12" spans="1:52" ht="48.75" customHeight="1">
      <c r="A12" s="111" t="s">
        <v>4</v>
      </c>
      <c r="B12" s="111"/>
      <c r="C12" s="111"/>
      <c r="D12" s="111"/>
      <c r="E12" s="111"/>
      <c r="F12" s="111"/>
      <c r="G12" s="111"/>
      <c r="I12" s="111" t="s">
        <v>17</v>
      </c>
      <c r="J12" s="111"/>
      <c r="K12" s="111"/>
      <c r="L12" s="111"/>
      <c r="M12" s="111"/>
      <c r="N12" s="111"/>
    </row>
    <row r="13" spans="1:52" ht="31.5" customHeight="1" thickBot="1">
      <c r="A13" s="17" t="s">
        <v>61</v>
      </c>
      <c r="B13" s="16" t="s">
        <v>7</v>
      </c>
      <c r="C13" s="17" t="s">
        <v>8</v>
      </c>
      <c r="D13" s="17" t="s">
        <v>9</v>
      </c>
      <c r="E13" s="17" t="s">
        <v>12</v>
      </c>
      <c r="F13" s="18" t="s">
        <v>11</v>
      </c>
      <c r="G13" s="19" t="s">
        <v>10</v>
      </c>
      <c r="I13" s="17" t="s">
        <v>61</v>
      </c>
      <c r="J13" s="16" t="s">
        <v>7</v>
      </c>
      <c r="K13" s="18" t="s">
        <v>13</v>
      </c>
      <c r="L13" s="18" t="s">
        <v>14</v>
      </c>
      <c r="M13" s="17" t="s">
        <v>16</v>
      </c>
      <c r="N13" s="20" t="s">
        <v>15</v>
      </c>
      <c r="O13"/>
    </row>
    <row r="14" spans="1:52" ht="15.75" thickBot="1">
      <c r="A14" s="57"/>
      <c r="B14" s="58"/>
      <c r="C14" s="61"/>
      <c r="D14" s="62"/>
      <c r="E14" s="63"/>
      <c r="F14" s="64"/>
      <c r="G14" s="21">
        <f>Tabela1418[[#This Row],[VALOR BRUTO]]*(1-Tabela1418[[#This Row],[DESCONTO]])</f>
        <v>0</v>
      </c>
      <c r="I14" s="66"/>
      <c r="J14" s="67"/>
      <c r="K14" s="69"/>
      <c r="L14" s="69"/>
      <c r="M14" s="70"/>
      <c r="N14" s="71"/>
      <c r="O14"/>
    </row>
    <row r="15" spans="1:52" ht="15" customHeight="1" thickBot="1">
      <c r="A15" s="58"/>
      <c r="B15" s="58"/>
      <c r="C15" s="61"/>
      <c r="D15" s="62"/>
      <c r="E15" s="63"/>
      <c r="F15" s="64"/>
      <c r="G15" s="21">
        <f>Tabela1418[[#This Row],[VALOR BRUTO]]*(1-Tabela1418[[#This Row],[DESCONTO]])</f>
        <v>0</v>
      </c>
      <c r="I15" s="67"/>
      <c r="J15" s="67"/>
      <c r="K15" s="69"/>
      <c r="L15" s="69"/>
      <c r="M15" s="70"/>
      <c r="N15" s="71"/>
    </row>
    <row r="16" spans="1:52" ht="15" customHeight="1" thickBot="1">
      <c r="A16" s="58"/>
      <c r="B16" s="58"/>
      <c r="C16" s="61"/>
      <c r="D16" s="62"/>
      <c r="E16" s="63"/>
      <c r="F16" s="64"/>
      <c r="G16" s="21">
        <f>Tabela1418[[#This Row],[VALOR BRUTO]]*(1-Tabela1418[[#This Row],[DESCONTO]])</f>
        <v>0</v>
      </c>
      <c r="I16" s="67"/>
      <c r="J16" s="67"/>
      <c r="K16" s="69"/>
      <c r="L16" s="69"/>
      <c r="M16" s="70"/>
      <c r="N16" s="71"/>
    </row>
    <row r="17" spans="1:19" ht="15" customHeight="1" thickBot="1">
      <c r="A17" s="58"/>
      <c r="B17" s="58"/>
      <c r="C17" s="61"/>
      <c r="D17" s="62"/>
      <c r="E17" s="63"/>
      <c r="F17" s="64"/>
      <c r="G17" s="21">
        <f>Tabela1418[[#This Row],[VALOR BRUTO]]*(1-Tabela1418[[#This Row],[DESCONTO]])</f>
        <v>0</v>
      </c>
      <c r="H17" s="15"/>
      <c r="I17" s="67"/>
      <c r="J17" s="67"/>
      <c r="K17" s="69"/>
      <c r="L17" s="69"/>
      <c r="M17" s="70"/>
      <c r="N17" s="71"/>
      <c r="O17" s="106"/>
      <c r="P17" s="107"/>
      <c r="Q17" s="107"/>
    </row>
    <row r="18" spans="1:19" ht="18" customHeight="1" thickBot="1">
      <c r="A18" s="58"/>
      <c r="B18" s="58"/>
      <c r="C18" s="61"/>
      <c r="D18" s="62"/>
      <c r="E18" s="63"/>
      <c r="F18" s="64"/>
      <c r="G18" s="21">
        <f>Tabela1418[[#This Row],[VALOR BRUTO]]*(1-Tabela1418[[#This Row],[DESCONTO]])</f>
        <v>0</v>
      </c>
      <c r="I18" s="67"/>
      <c r="J18" s="67"/>
      <c r="K18" s="69"/>
      <c r="L18" s="69"/>
      <c r="M18" s="70"/>
      <c r="N18" s="71"/>
      <c r="Q18" s="10"/>
      <c r="R18" s="11"/>
      <c r="S18" s="12"/>
    </row>
    <row r="19" spans="1:19" ht="15.75" thickBot="1">
      <c r="A19" s="59"/>
      <c r="B19" s="60"/>
      <c r="C19" s="61"/>
      <c r="D19" s="62"/>
      <c r="E19" s="63"/>
      <c r="F19" s="65"/>
      <c r="G19" s="21">
        <f>Tabela1418[[#This Row],[VALOR BRUTO]]*(1-Tabela1418[[#This Row],[DESCONTO]])</f>
        <v>0</v>
      </c>
      <c r="I19" s="68"/>
      <c r="J19" s="67"/>
      <c r="K19" s="69"/>
      <c r="L19" s="69"/>
      <c r="M19" s="70"/>
      <c r="N19" s="71"/>
      <c r="Q19" s="10"/>
      <c r="R19" s="11"/>
      <c r="S19" s="12"/>
    </row>
    <row r="20" spans="1:19">
      <c r="A20" s="22"/>
      <c r="B20" s="23"/>
      <c r="C20" s="24"/>
      <c r="D20" s="25"/>
      <c r="E20" s="22"/>
      <c r="F20" s="24"/>
      <c r="I20" s="27"/>
      <c r="J20" s="27"/>
      <c r="K20" s="26"/>
      <c r="L20" s="28"/>
      <c r="Q20" s="10"/>
      <c r="R20" s="11"/>
      <c r="S20" s="12"/>
    </row>
    <row r="22" spans="1:19" ht="31.5" thickBot="1">
      <c r="A22" s="29" t="s">
        <v>59</v>
      </c>
      <c r="B22" s="30"/>
      <c r="C22" s="30"/>
      <c r="D22" s="30"/>
      <c r="E22" s="40"/>
      <c r="F22" s="112">
        <f>SUMIF(Tabela1418[FORMA DE PAGAMENTO],Referencias!A1,Tabela1418[VALOR LÍQUIDO])+SUMIF(Tabela1418[FORMA DE PAGAMENTO],Referencias!A2,Tabela1418[VALOR LÍQUIDO])+SUMIF(Tabela1418[FORMA DE PAGAMENTO],Referencias!A9,Tabela1418[VALOR LÍQUIDO])+SUMIF(Tabela1418[FORMA DE PAGAMENTO],Referencias!A10,Tabela1418[VALOR LÍQUIDO])</f>
        <v>0</v>
      </c>
      <c r="G22" s="112"/>
      <c r="I22" s="29" t="s">
        <v>19</v>
      </c>
      <c r="J22" s="30"/>
      <c r="K22" s="30"/>
      <c r="L22" s="41"/>
      <c r="M22" s="114">
        <f>SUMIF(Tabela2519[TIPO],"FIXA",Tabela2519[VALOR])</f>
        <v>0</v>
      </c>
      <c r="N22" s="114"/>
    </row>
    <row r="23" spans="1:19" ht="15.75" thickTop="1">
      <c r="H23" s="26"/>
    </row>
    <row r="25" spans="1:19" ht="33" thickBot="1">
      <c r="A25" s="39" t="s">
        <v>54</v>
      </c>
      <c r="B25" s="30"/>
      <c r="C25" s="30"/>
      <c r="D25" s="30"/>
      <c r="E25" s="40"/>
      <c r="F25" s="114">
        <f>SUMIF(Tabela1418[FORMA DE PAGAMENTO],Referencias!A3,Tabela1418[VALOR LÍQUIDO])+SUMIF(Tabela1418[FORMA DE PAGAMENTO],Referencias!A4,Tabela1418[VALOR LÍQUIDO])+SUMIF(Tabela1418[FORMA DE PAGAMENTO],Referencias!A5,Tabela1418[VALOR LÍQUIDO])+SUMIF(Tabela1418[FORMA DE PAGAMENTO],Referencias!A6,Tabela1418[VALOR LÍQUIDO])+SUMIF(Tabela1418[FORMA DE PAGAMENTO],Referencias!A7,Tabela1418[VALOR LÍQUIDO])+SUMIF(Tabela1418[FORMA DE PAGAMENTO],Referencias!A8,Tabela1418[VALOR LÍQUIDO])</f>
        <v>0</v>
      </c>
      <c r="G25" s="114"/>
      <c r="I25" s="29" t="s">
        <v>20</v>
      </c>
      <c r="J25" s="30"/>
      <c r="K25" s="30"/>
      <c r="L25" s="41"/>
      <c r="M25" s="114">
        <f>SUMIF(Tabela2519[TIPO],"VARIÁVEL",Tabela2519[VALOR])</f>
        <v>0</v>
      </c>
      <c r="N25" s="114"/>
    </row>
    <row r="26" spans="1:19" ht="15.75" thickTop="1"/>
    <row r="28" spans="1:19" ht="33" thickBot="1">
      <c r="A28" s="111" t="s">
        <v>48</v>
      </c>
      <c r="B28" s="111"/>
      <c r="C28" s="111"/>
      <c r="D28" s="111"/>
      <c r="E28" s="111"/>
      <c r="F28" s="33"/>
      <c r="I28" s="29" t="s">
        <v>22</v>
      </c>
      <c r="J28" s="30"/>
      <c r="K28" s="30"/>
      <c r="L28" s="41"/>
      <c r="M28" s="114">
        <f>SUM(Tabela2519[VALOR])</f>
        <v>0</v>
      </c>
      <c r="N28" s="114"/>
    </row>
    <row r="29" spans="1:19" ht="27" thickTop="1">
      <c r="A29" s="35" t="s">
        <v>44</v>
      </c>
      <c r="B29" s="35" t="s">
        <v>9</v>
      </c>
      <c r="C29" s="35" t="s">
        <v>49</v>
      </c>
      <c r="D29" s="35" t="s">
        <v>50</v>
      </c>
      <c r="E29" s="35" t="s">
        <v>10</v>
      </c>
      <c r="F29" s="33"/>
    </row>
    <row r="30" spans="1:19" ht="23.25" customHeight="1">
      <c r="A30" s="43" t="s">
        <v>45</v>
      </c>
      <c r="B30" s="44">
        <f>SUMIF(Tabela1418[FORMA DE PAGAMENTO],Referencias!A3,Tabela1418[VALOR LÍQUIDO])</f>
        <v>0</v>
      </c>
      <c r="C30" s="72">
        <v>0.04</v>
      </c>
      <c r="D30" s="44">
        <f>B30*C30</f>
        <v>0</v>
      </c>
      <c r="E30" s="44">
        <f>B30-D30</f>
        <v>0</v>
      </c>
      <c r="F30" s="33"/>
    </row>
    <row r="31" spans="1:19" ht="18.75">
      <c r="A31" s="43" t="s">
        <v>46</v>
      </c>
      <c r="B31" s="44">
        <f>SUMIF(Tabela1418[FORMA DE PAGAMENTO],Referencias!A4,Tabela1418[VALOR LÍQUIDO])</f>
        <v>0</v>
      </c>
      <c r="C31" s="72">
        <v>0.04</v>
      </c>
      <c r="D31" s="44">
        <f t="shared" ref="D31:D35" si="1">B31*C31</f>
        <v>0</v>
      </c>
      <c r="E31" s="44">
        <f t="shared" ref="E31:E35" si="2">B31-D31</f>
        <v>0</v>
      </c>
      <c r="F31" s="34"/>
    </row>
    <row r="32" spans="1:19">
      <c r="A32" s="43" t="s">
        <v>47</v>
      </c>
      <c r="B32" s="44">
        <f>SUMIF(Tabela1418[FORMA DE PAGAMENTO],Referencias!A5,Tabela1418[VALOR LÍQUIDO])</f>
        <v>0</v>
      </c>
      <c r="C32" s="72">
        <v>0.04</v>
      </c>
      <c r="D32" s="44">
        <f t="shared" si="1"/>
        <v>0</v>
      </c>
      <c r="E32" s="44">
        <f t="shared" si="2"/>
        <v>0</v>
      </c>
    </row>
    <row r="33" spans="1:5">
      <c r="A33" s="43" t="s">
        <v>51</v>
      </c>
      <c r="B33" s="44">
        <f>SUMIF(Tabela1418[FORMA DE PAGAMENTO],Referencias!A6,Tabela1418[VALOR LÍQUIDO])</f>
        <v>0</v>
      </c>
      <c r="C33" s="72">
        <v>0.04</v>
      </c>
      <c r="D33" s="44">
        <f t="shared" si="1"/>
        <v>0</v>
      </c>
      <c r="E33" s="44">
        <f t="shared" si="2"/>
        <v>0</v>
      </c>
    </row>
    <row r="34" spans="1:5" ht="15.75" customHeight="1">
      <c r="A34" s="43" t="s">
        <v>52</v>
      </c>
      <c r="B34" s="44">
        <f>SUMIF(Tabela1418[FORMA DE PAGAMENTO],Referencias!A7,Tabela1418[VALOR LÍQUIDO])</f>
        <v>0</v>
      </c>
      <c r="C34" s="72">
        <v>0.04</v>
      </c>
      <c r="D34" s="44">
        <f t="shared" si="1"/>
        <v>0</v>
      </c>
      <c r="E34" s="44">
        <f t="shared" si="2"/>
        <v>0</v>
      </c>
    </row>
    <row r="35" spans="1:5" ht="15" customHeight="1">
      <c r="A35" s="43" t="s">
        <v>53</v>
      </c>
      <c r="B35" s="44">
        <f>SUMIF(Tabela1418[FORMA DE PAGAMENTO],Referencias!A8,Tabela1418[VALOR LÍQUIDO])</f>
        <v>0</v>
      </c>
      <c r="C35" s="73">
        <v>0.04</v>
      </c>
      <c r="D35" s="49">
        <f t="shared" si="1"/>
        <v>0</v>
      </c>
      <c r="E35" s="49">
        <f t="shared" si="2"/>
        <v>0</v>
      </c>
    </row>
    <row r="36" spans="1:5" ht="19.5" customHeight="1">
      <c r="C36" s="51" t="s">
        <v>18</v>
      </c>
      <c r="D36" s="50">
        <f>SUM(D30:D35)</f>
        <v>0</v>
      </c>
      <c r="E36" s="50">
        <f>SUM(E30:E35)</f>
        <v>0</v>
      </c>
    </row>
    <row r="37" spans="1:5" ht="19.5" customHeight="1"/>
  </sheetData>
  <sheetProtection sheet="1" objects="1" scenarios="1" selectLockedCells="1"/>
  <mergeCells count="16">
    <mergeCell ref="F25:G25"/>
    <mergeCell ref="M25:N25"/>
    <mergeCell ref="A28:E28"/>
    <mergeCell ref="M28:N28"/>
    <mergeCell ref="P11:Q11"/>
    <mergeCell ref="A12:G12"/>
    <mergeCell ref="I12:N12"/>
    <mergeCell ref="O17:Q17"/>
    <mergeCell ref="F22:G22"/>
    <mergeCell ref="M22:N22"/>
    <mergeCell ref="O10:Q10"/>
    <mergeCell ref="A1:O1"/>
    <mergeCell ref="C5:D5"/>
    <mergeCell ref="F5:G5"/>
    <mergeCell ref="I5:K5"/>
    <mergeCell ref="C6:D6"/>
  </mergeCells>
  <conditionalFormatting sqref="G9">
    <cfRule type="cellIs" dxfId="107" priority="3" operator="greaterThan">
      <formula>0</formula>
    </cfRule>
    <cfRule type="cellIs" dxfId="106" priority="4" stopIfTrue="1" operator="lessThan">
      <formula>0</formula>
    </cfRule>
  </conditionalFormatting>
  <conditionalFormatting sqref="G10">
    <cfRule type="cellIs" dxfId="105" priority="1" operator="greaterThan">
      <formula>0</formula>
    </cfRule>
    <cfRule type="cellIs" dxfId="104" priority="2" operator="lessThan">
      <formula>0</formula>
    </cfRule>
  </conditionalFormatting>
  <dataValidations count="2">
    <dataValidation type="date" operator="greaterThan" allowBlank="1" showInputMessage="1" showErrorMessage="1" sqref="B20 K18:L19 I20:J20" xr:uid="{DCEA4EF0-0851-480F-BA7D-618E1491F386}">
      <formula1>44348</formula1>
    </dataValidation>
    <dataValidation type="list" operator="greaterThanOrEqual" allowBlank="1" showInputMessage="1" showErrorMessage="1" sqref="K20 M14:M19" xr:uid="{10ADBE08-A1B8-4BA2-B51B-F6A2B6B084D0}">
      <formula1>"FIXA,VARIÁVEL"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33295A-C0F9-4877-83E5-B8C7828CF820}">
          <x14:formula1>
            <xm:f>Referencias!$A$1:$A$10</xm:f>
          </x14:formula1>
          <xm:sqref>F14:F19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F489E-E1DA-4D59-9DB4-4B8109F91813}">
  <sheetPr codeName="Planilha13"/>
  <dimension ref="A1:AZ37"/>
  <sheetViews>
    <sheetView showGridLines="0" showRowColHeaders="0" zoomScale="70" zoomScaleNormal="70" workbookViewId="0">
      <pane ySplit="1" topLeftCell="A2" activePane="bottomLeft" state="frozen"/>
      <selection pane="bottomLeft" activeCell="F14" sqref="F14"/>
    </sheetView>
  </sheetViews>
  <sheetFormatPr defaultRowHeight="15"/>
  <cols>
    <col min="1" max="1" width="27.42578125" style="13" customWidth="1"/>
    <col min="2" max="2" width="28.7109375" style="13" customWidth="1"/>
    <col min="3" max="3" width="13.7109375" style="13" customWidth="1"/>
    <col min="4" max="4" width="18" style="13" customWidth="1"/>
    <col min="5" max="5" width="22.85546875" style="13" customWidth="1"/>
    <col min="6" max="6" width="24.7109375" style="13" customWidth="1"/>
    <col min="7" max="7" width="16.5703125" style="13" customWidth="1"/>
    <col min="8" max="8" width="16.42578125" style="13" customWidth="1"/>
    <col min="9" max="9" width="19.42578125" style="13" customWidth="1"/>
    <col min="10" max="10" width="24.7109375" style="13" customWidth="1"/>
    <col min="11" max="11" width="19.7109375" style="13" customWidth="1"/>
    <col min="12" max="12" width="18.140625" style="13" customWidth="1"/>
    <col min="13" max="13" width="15" style="13" customWidth="1"/>
    <col min="14" max="14" width="14.7109375" style="13" customWidth="1"/>
    <col min="15" max="15" width="21.5703125" style="13" customWidth="1"/>
    <col min="16" max="16384" width="9.140625" style="13"/>
  </cols>
  <sheetData>
    <row r="1" spans="1:52" ht="108" customHeight="1">
      <c r="A1" s="104" t="s">
        <v>60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42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Z1"/>
    </row>
    <row r="2" spans="1:52" ht="15" customHeigh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Z2"/>
    </row>
    <row r="3" spans="1:52" ht="15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AZ3"/>
    </row>
    <row r="4" spans="1:52" ht="15" customHeight="1" thickBo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</row>
    <row r="5" spans="1:52" ht="15" customHeight="1" thickBot="1">
      <c r="A5"/>
      <c r="B5" s="32" t="s">
        <v>0</v>
      </c>
      <c r="C5" s="109">
        <f>FEV!K8</f>
        <v>0</v>
      </c>
      <c r="D5" s="110"/>
      <c r="E5"/>
      <c r="F5" s="99" t="s">
        <v>2</v>
      </c>
      <c r="G5" s="101"/>
      <c r="H5"/>
      <c r="I5" s="99" t="s">
        <v>62</v>
      </c>
      <c r="J5" s="100"/>
      <c r="K5" s="101"/>
      <c r="L5"/>
      <c r="M5"/>
      <c r="N5"/>
      <c r="O5"/>
    </row>
    <row r="6" spans="1:52" ht="15" customHeight="1" thickBot="1">
      <c r="A6"/>
      <c r="B6" s="31" t="s">
        <v>1</v>
      </c>
      <c r="C6" s="102">
        <f>G9</f>
        <v>0</v>
      </c>
      <c r="D6" s="103"/>
      <c r="E6"/>
      <c r="F6" s="1" t="s">
        <v>0</v>
      </c>
      <c r="G6" s="14">
        <f>C5</f>
        <v>0</v>
      </c>
      <c r="H6"/>
      <c r="I6" s="9" t="s">
        <v>5</v>
      </c>
      <c r="J6" s="74">
        <v>0.45</v>
      </c>
      <c r="K6" s="2">
        <f>IF($G$10&lt;=0,0,($G$10*J6))</f>
        <v>0</v>
      </c>
      <c r="L6"/>
      <c r="M6"/>
      <c r="N6"/>
      <c r="O6"/>
    </row>
    <row r="7" spans="1:52" ht="15" customHeight="1">
      <c r="A7"/>
      <c r="E7"/>
      <c r="F7" s="1" t="s">
        <v>3</v>
      </c>
      <c r="G7" s="14">
        <f>M28</f>
        <v>0</v>
      </c>
      <c r="H7"/>
      <c r="I7" s="9" t="s">
        <v>6</v>
      </c>
      <c r="J7" s="74">
        <v>0.45</v>
      </c>
      <c r="K7" s="2">
        <f t="shared" ref="K7:K8" si="0">IF($G$10&lt;=0,0,($G$10*J7))</f>
        <v>0</v>
      </c>
      <c r="L7"/>
      <c r="M7"/>
      <c r="N7"/>
      <c r="O7"/>
    </row>
    <row r="8" spans="1:52">
      <c r="F8" s="1" t="s">
        <v>4</v>
      </c>
      <c r="G8" s="14">
        <f>F22+E36</f>
        <v>0</v>
      </c>
      <c r="I8" s="9" t="s">
        <v>21</v>
      </c>
      <c r="J8" s="74">
        <v>0.1</v>
      </c>
      <c r="K8" s="2">
        <f t="shared" si="0"/>
        <v>0</v>
      </c>
    </row>
    <row r="9" spans="1:52">
      <c r="F9" s="1" t="s">
        <v>1</v>
      </c>
      <c r="G9" s="14">
        <f>(G6+G8)-G7</f>
        <v>0</v>
      </c>
    </row>
    <row r="10" spans="1:52">
      <c r="F10" s="1" t="s">
        <v>63</v>
      </c>
      <c r="G10" s="14">
        <f>G8-G7</f>
        <v>0</v>
      </c>
      <c r="L10" s="15"/>
      <c r="O10" s="108"/>
      <c r="P10" s="108"/>
      <c r="Q10" s="108"/>
    </row>
    <row r="11" spans="1:52">
      <c r="P11" s="108"/>
      <c r="Q11" s="108"/>
    </row>
    <row r="12" spans="1:52" ht="48.75" customHeight="1">
      <c r="A12" s="111" t="s">
        <v>4</v>
      </c>
      <c r="B12" s="111"/>
      <c r="C12" s="111"/>
      <c r="D12" s="111"/>
      <c r="E12" s="111"/>
      <c r="F12" s="111"/>
      <c r="G12" s="111"/>
      <c r="I12" s="111" t="s">
        <v>17</v>
      </c>
      <c r="J12" s="111"/>
      <c r="K12" s="111"/>
      <c r="L12" s="111"/>
      <c r="M12" s="111"/>
      <c r="N12" s="111"/>
    </row>
    <row r="13" spans="1:52" ht="31.5" customHeight="1" thickBot="1">
      <c r="A13" s="17" t="s">
        <v>61</v>
      </c>
      <c r="B13" s="16" t="s">
        <v>7</v>
      </c>
      <c r="C13" s="17" t="s">
        <v>8</v>
      </c>
      <c r="D13" s="17" t="s">
        <v>9</v>
      </c>
      <c r="E13" s="17" t="s">
        <v>12</v>
      </c>
      <c r="F13" s="18" t="s">
        <v>11</v>
      </c>
      <c r="G13" s="19" t="s">
        <v>10</v>
      </c>
      <c r="I13" s="17" t="s">
        <v>61</v>
      </c>
      <c r="J13" s="16" t="s">
        <v>7</v>
      </c>
      <c r="K13" s="18" t="s">
        <v>13</v>
      </c>
      <c r="L13" s="18" t="s">
        <v>14</v>
      </c>
      <c r="M13" s="17" t="s">
        <v>16</v>
      </c>
      <c r="N13" s="20" t="s">
        <v>15</v>
      </c>
      <c r="O13"/>
    </row>
    <row r="14" spans="1:52" ht="15.75" thickBot="1">
      <c r="A14" s="57"/>
      <c r="B14" s="58"/>
      <c r="C14" s="61"/>
      <c r="D14" s="62"/>
      <c r="E14" s="63"/>
      <c r="F14" s="64"/>
      <c r="G14" s="21">
        <f>Tabela1420[[#This Row],[VALOR BRUTO]]*(1-Tabela1420[[#This Row],[DESCONTO]])</f>
        <v>0</v>
      </c>
      <c r="I14" s="66"/>
      <c r="J14" s="67"/>
      <c r="K14" s="69"/>
      <c r="L14" s="69"/>
      <c r="M14" s="70"/>
      <c r="N14" s="71"/>
      <c r="O14"/>
    </row>
    <row r="15" spans="1:52" ht="15" customHeight="1" thickBot="1">
      <c r="A15" s="58"/>
      <c r="B15" s="58"/>
      <c r="C15" s="61"/>
      <c r="D15" s="62"/>
      <c r="E15" s="63"/>
      <c r="F15" s="64"/>
      <c r="G15" s="21">
        <f>Tabela1420[[#This Row],[VALOR BRUTO]]*(1-Tabela1420[[#This Row],[DESCONTO]])</f>
        <v>0</v>
      </c>
      <c r="I15" s="67"/>
      <c r="J15" s="67"/>
      <c r="K15" s="69"/>
      <c r="L15" s="69"/>
      <c r="M15" s="70"/>
      <c r="N15" s="71"/>
    </row>
    <row r="16" spans="1:52" ht="15" customHeight="1" thickBot="1">
      <c r="A16" s="58"/>
      <c r="B16" s="58"/>
      <c r="C16" s="61"/>
      <c r="D16" s="62"/>
      <c r="E16" s="63"/>
      <c r="F16" s="64"/>
      <c r="G16" s="21">
        <f>Tabela1420[[#This Row],[VALOR BRUTO]]*(1-Tabela1420[[#This Row],[DESCONTO]])</f>
        <v>0</v>
      </c>
      <c r="I16" s="67"/>
      <c r="J16" s="67"/>
      <c r="K16" s="69"/>
      <c r="L16" s="69"/>
      <c r="M16" s="70"/>
      <c r="N16" s="71"/>
    </row>
    <row r="17" spans="1:19" ht="15" customHeight="1" thickBot="1">
      <c r="A17" s="58"/>
      <c r="B17" s="58"/>
      <c r="C17" s="61"/>
      <c r="D17" s="62"/>
      <c r="E17" s="63"/>
      <c r="F17" s="64"/>
      <c r="G17" s="21">
        <f>Tabela1420[[#This Row],[VALOR BRUTO]]*(1-Tabela1420[[#This Row],[DESCONTO]])</f>
        <v>0</v>
      </c>
      <c r="H17" s="15"/>
      <c r="I17" s="67"/>
      <c r="J17" s="67"/>
      <c r="K17" s="69"/>
      <c r="L17" s="69"/>
      <c r="M17" s="70"/>
      <c r="N17" s="71"/>
      <c r="O17" s="106"/>
      <c r="P17" s="107"/>
      <c r="Q17" s="107"/>
    </row>
    <row r="18" spans="1:19" ht="18" customHeight="1" thickBot="1">
      <c r="A18" s="58"/>
      <c r="B18" s="58"/>
      <c r="C18" s="61"/>
      <c r="D18" s="62"/>
      <c r="E18" s="63"/>
      <c r="F18" s="64"/>
      <c r="G18" s="21">
        <f>Tabela1420[[#This Row],[VALOR BRUTO]]*(1-Tabela1420[[#This Row],[DESCONTO]])</f>
        <v>0</v>
      </c>
      <c r="I18" s="67"/>
      <c r="J18" s="67"/>
      <c r="K18" s="69"/>
      <c r="L18" s="69"/>
      <c r="M18" s="70"/>
      <c r="N18" s="71"/>
      <c r="Q18" s="10"/>
      <c r="R18" s="11"/>
      <c r="S18" s="12"/>
    </row>
    <row r="19" spans="1:19" ht="15.75" thickBot="1">
      <c r="A19" s="59"/>
      <c r="B19" s="60"/>
      <c r="C19" s="61"/>
      <c r="D19" s="62"/>
      <c r="E19" s="63"/>
      <c r="F19" s="65"/>
      <c r="G19" s="21">
        <f>Tabela1420[[#This Row],[VALOR BRUTO]]*(1-Tabela1420[[#This Row],[DESCONTO]])</f>
        <v>0</v>
      </c>
      <c r="I19" s="68"/>
      <c r="J19" s="67"/>
      <c r="K19" s="69"/>
      <c r="L19" s="69"/>
      <c r="M19" s="70"/>
      <c r="N19" s="71"/>
      <c r="Q19" s="10"/>
      <c r="R19" s="11"/>
      <c r="S19" s="12"/>
    </row>
    <row r="20" spans="1:19">
      <c r="A20" s="22"/>
      <c r="B20" s="23"/>
      <c r="C20" s="24"/>
      <c r="D20" s="25"/>
      <c r="E20" s="22"/>
      <c r="F20" s="24"/>
      <c r="I20" s="27"/>
      <c r="J20" s="27"/>
      <c r="K20" s="26"/>
      <c r="L20" s="28"/>
      <c r="Q20" s="10"/>
      <c r="R20" s="11"/>
      <c r="S20" s="12"/>
    </row>
    <row r="22" spans="1:19" ht="31.5" thickBot="1">
      <c r="A22" s="29" t="s">
        <v>59</v>
      </c>
      <c r="B22" s="30"/>
      <c r="C22" s="30"/>
      <c r="D22" s="30"/>
      <c r="E22" s="40"/>
      <c r="F22" s="112">
        <f>SUMIF(Tabela1420[FORMA DE PAGAMENTO],Referencias!A1,Tabela1420[VALOR LÍQUIDO])+SUMIF(Tabela1420[FORMA DE PAGAMENTO],Referencias!A2,Tabela1420[VALOR LÍQUIDO])+SUMIF(Tabela1420[FORMA DE PAGAMENTO],Referencias!A9,Tabela1420[VALOR LÍQUIDO])+SUMIF(Tabela1420[FORMA DE PAGAMENTO],Referencias!A10,Tabela1420[VALOR LÍQUIDO])</f>
        <v>0</v>
      </c>
      <c r="G22" s="112"/>
      <c r="I22" s="29" t="s">
        <v>19</v>
      </c>
      <c r="J22" s="30"/>
      <c r="K22" s="30"/>
      <c r="L22" s="41"/>
      <c r="M22" s="114">
        <f>SUMIF(Tabela2521[TIPO],"FIXA",Tabela2521[VALOR])</f>
        <v>0</v>
      </c>
      <c r="N22" s="114"/>
    </row>
    <row r="23" spans="1:19" ht="15.75" thickTop="1">
      <c r="H23" s="26"/>
    </row>
    <row r="25" spans="1:19" ht="33" thickBot="1">
      <c r="A25" s="39" t="s">
        <v>54</v>
      </c>
      <c r="B25" s="30"/>
      <c r="C25" s="30"/>
      <c r="D25" s="30"/>
      <c r="E25" s="40"/>
      <c r="F25" s="114">
        <f>SUMIF(Tabela1420[FORMA DE PAGAMENTO],Referencias!A3,Tabela1420[VALOR LÍQUIDO])+SUMIF(Tabela1420[FORMA DE PAGAMENTO],Referencias!A4,Tabela1420[VALOR LÍQUIDO])+SUMIF(Tabela1420[FORMA DE PAGAMENTO],Referencias!A5,Tabela1420[VALOR LÍQUIDO])+SUMIF(Tabela1420[FORMA DE PAGAMENTO],Referencias!A6,Tabela1420[VALOR LÍQUIDO])+SUMIF(Tabela1420[FORMA DE PAGAMENTO],Referencias!A7,Tabela1420[VALOR LÍQUIDO])+SUMIF(Tabela1420[FORMA DE PAGAMENTO],Referencias!A8,Tabela1420[VALOR LÍQUIDO])</f>
        <v>0</v>
      </c>
      <c r="G25" s="114"/>
      <c r="I25" s="29" t="s">
        <v>20</v>
      </c>
      <c r="J25" s="30"/>
      <c r="K25" s="30"/>
      <c r="L25" s="41"/>
      <c r="M25" s="114">
        <f>SUMIF(Tabela2521[TIPO],"VARIÁVEL",Tabela2521[VALOR])</f>
        <v>0</v>
      </c>
      <c r="N25" s="114"/>
    </row>
    <row r="26" spans="1:19" ht="15.75" thickTop="1"/>
    <row r="28" spans="1:19" ht="33" thickBot="1">
      <c r="A28" s="111" t="s">
        <v>48</v>
      </c>
      <c r="B28" s="111"/>
      <c r="C28" s="111"/>
      <c r="D28" s="111"/>
      <c r="E28" s="111"/>
      <c r="F28" s="33"/>
      <c r="I28" s="29" t="s">
        <v>22</v>
      </c>
      <c r="J28" s="30"/>
      <c r="K28" s="30"/>
      <c r="L28" s="41"/>
      <c r="M28" s="114">
        <f>SUM(Tabela2521[VALOR])</f>
        <v>0</v>
      </c>
      <c r="N28" s="114"/>
    </row>
    <row r="29" spans="1:19" ht="27" thickTop="1">
      <c r="A29" s="35" t="s">
        <v>44</v>
      </c>
      <c r="B29" s="35" t="s">
        <v>9</v>
      </c>
      <c r="C29" s="35" t="s">
        <v>49</v>
      </c>
      <c r="D29" s="35" t="s">
        <v>50</v>
      </c>
      <c r="E29" s="35" t="s">
        <v>10</v>
      </c>
      <c r="F29" s="33"/>
    </row>
    <row r="30" spans="1:19" ht="23.25" customHeight="1">
      <c r="A30" s="43" t="s">
        <v>45</v>
      </c>
      <c r="B30" s="44">
        <f>SUMIF(Tabela1420[FORMA DE PAGAMENTO],Referencias!A3,Tabela1420[VALOR LÍQUIDO])</f>
        <v>0</v>
      </c>
      <c r="C30" s="72">
        <v>0.04</v>
      </c>
      <c r="D30" s="44">
        <f>B30*C30</f>
        <v>0</v>
      </c>
      <c r="E30" s="44">
        <f>B30-D30</f>
        <v>0</v>
      </c>
      <c r="F30" s="33"/>
    </row>
    <row r="31" spans="1:19" ht="18.75">
      <c r="A31" s="43" t="s">
        <v>46</v>
      </c>
      <c r="B31" s="44">
        <f>SUMIF(Tabela1420[FORMA DE PAGAMENTO],Referencias!A4,Tabela1420[VALOR LÍQUIDO])</f>
        <v>0</v>
      </c>
      <c r="C31" s="72">
        <v>0.04</v>
      </c>
      <c r="D31" s="44">
        <f t="shared" ref="D31:D35" si="1">B31*C31</f>
        <v>0</v>
      </c>
      <c r="E31" s="44">
        <f t="shared" ref="E31:E35" si="2">B31-D31</f>
        <v>0</v>
      </c>
      <c r="F31" s="34"/>
    </row>
    <row r="32" spans="1:19">
      <c r="A32" s="43" t="s">
        <v>47</v>
      </c>
      <c r="B32" s="44">
        <f>SUMIF(Tabela1420[FORMA DE PAGAMENTO],Referencias!A5,Tabela1420[VALOR LÍQUIDO])</f>
        <v>0</v>
      </c>
      <c r="C32" s="72">
        <v>0.04</v>
      </c>
      <c r="D32" s="44">
        <f t="shared" si="1"/>
        <v>0</v>
      </c>
      <c r="E32" s="44">
        <f t="shared" si="2"/>
        <v>0</v>
      </c>
    </row>
    <row r="33" spans="1:5">
      <c r="A33" s="43" t="s">
        <v>51</v>
      </c>
      <c r="B33" s="44">
        <f>SUMIF(Tabela1420[FORMA DE PAGAMENTO],Referencias!A6,Tabela1420[VALOR LÍQUIDO])</f>
        <v>0</v>
      </c>
      <c r="C33" s="72">
        <v>0.04</v>
      </c>
      <c r="D33" s="44">
        <f t="shared" si="1"/>
        <v>0</v>
      </c>
      <c r="E33" s="44">
        <f t="shared" si="2"/>
        <v>0</v>
      </c>
    </row>
    <row r="34" spans="1:5" ht="15.75" customHeight="1">
      <c r="A34" s="43" t="s">
        <v>52</v>
      </c>
      <c r="B34" s="44">
        <f>SUMIF(Tabela1420[FORMA DE PAGAMENTO],Referencias!A7,Tabela1420[VALOR LÍQUIDO])</f>
        <v>0</v>
      </c>
      <c r="C34" s="72">
        <v>0.04</v>
      </c>
      <c r="D34" s="44">
        <f t="shared" si="1"/>
        <v>0</v>
      </c>
      <c r="E34" s="44">
        <f t="shared" si="2"/>
        <v>0</v>
      </c>
    </row>
    <row r="35" spans="1:5" ht="15" customHeight="1">
      <c r="A35" s="43" t="s">
        <v>53</v>
      </c>
      <c r="B35" s="44">
        <f>SUMIF(Tabela1420[FORMA DE PAGAMENTO],Referencias!A8,Tabela1420[VALOR LÍQUIDO])</f>
        <v>0</v>
      </c>
      <c r="C35" s="73">
        <v>0.04</v>
      </c>
      <c r="D35" s="49">
        <f t="shared" si="1"/>
        <v>0</v>
      </c>
      <c r="E35" s="49">
        <f t="shared" si="2"/>
        <v>0</v>
      </c>
    </row>
    <row r="36" spans="1:5" ht="19.5" customHeight="1">
      <c r="C36" s="51" t="s">
        <v>18</v>
      </c>
      <c r="D36" s="50">
        <f>SUM(D30:D35)</f>
        <v>0</v>
      </c>
      <c r="E36" s="50">
        <f>SUM(E30:E35)</f>
        <v>0</v>
      </c>
    </row>
    <row r="37" spans="1:5" ht="19.5" customHeight="1"/>
  </sheetData>
  <sheetProtection sheet="1" objects="1" scenarios="1" selectLockedCells="1"/>
  <mergeCells count="16">
    <mergeCell ref="F25:G25"/>
    <mergeCell ref="M25:N25"/>
    <mergeCell ref="A28:E28"/>
    <mergeCell ref="M28:N28"/>
    <mergeCell ref="P11:Q11"/>
    <mergeCell ref="A12:G12"/>
    <mergeCell ref="I12:N12"/>
    <mergeCell ref="O17:Q17"/>
    <mergeCell ref="F22:G22"/>
    <mergeCell ref="M22:N22"/>
    <mergeCell ref="O10:Q10"/>
    <mergeCell ref="A1:O1"/>
    <mergeCell ref="C5:D5"/>
    <mergeCell ref="F5:G5"/>
    <mergeCell ref="I5:K5"/>
    <mergeCell ref="C6:D6"/>
  </mergeCells>
  <conditionalFormatting sqref="G9">
    <cfRule type="cellIs" dxfId="80" priority="3" operator="greaterThan">
      <formula>0</formula>
    </cfRule>
    <cfRule type="cellIs" dxfId="79" priority="4" stopIfTrue="1" operator="lessThan">
      <formula>0</formula>
    </cfRule>
  </conditionalFormatting>
  <conditionalFormatting sqref="G10">
    <cfRule type="cellIs" dxfId="78" priority="1" operator="greaterThan">
      <formula>0</formula>
    </cfRule>
    <cfRule type="cellIs" dxfId="77" priority="2" operator="lessThan">
      <formula>0</formula>
    </cfRule>
  </conditionalFormatting>
  <dataValidations count="2">
    <dataValidation type="date" operator="greaterThan" allowBlank="1" showInputMessage="1" showErrorMessage="1" sqref="B20 K18:L19 I20:J20" xr:uid="{29A603EA-7B27-4D8F-9F0F-5EB42985E39D}">
      <formula1>44348</formula1>
    </dataValidation>
    <dataValidation type="list" operator="greaterThanOrEqual" allowBlank="1" showInputMessage="1" showErrorMessage="1" sqref="K20 M14:M19" xr:uid="{554B93DB-6FDD-46C8-929A-DEF336C91E99}">
      <formula1>"FIXA,VARIÁVEL"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A8A470-E9D7-43D1-B8CC-D7C96E70B48C}">
          <x14:formula1>
            <xm:f>Referencias!$A$1:$A$10</xm:f>
          </x14:formula1>
          <xm:sqref>F14:F19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64306-4A71-4EA4-86DF-3624254763E4}">
  <sheetPr codeName="Planilha14"/>
  <dimension ref="A1:AZ37"/>
  <sheetViews>
    <sheetView showGridLines="0" showRowColHeaders="0" zoomScale="70" zoomScaleNormal="70" workbookViewId="0">
      <pane ySplit="1" topLeftCell="A2" activePane="bottomLeft" state="frozen"/>
      <selection pane="bottomLeft" activeCell="A14" sqref="A14"/>
    </sheetView>
  </sheetViews>
  <sheetFormatPr defaultRowHeight="15"/>
  <cols>
    <col min="1" max="1" width="27.42578125" style="13" customWidth="1"/>
    <col min="2" max="2" width="28.7109375" style="13" customWidth="1"/>
    <col min="3" max="3" width="13.7109375" style="13" customWidth="1"/>
    <col min="4" max="4" width="18" style="13" customWidth="1"/>
    <col min="5" max="5" width="22.85546875" style="13" customWidth="1"/>
    <col min="6" max="6" width="24.7109375" style="13" customWidth="1"/>
    <col min="7" max="7" width="16.5703125" style="13" customWidth="1"/>
    <col min="8" max="8" width="16.42578125" style="13" customWidth="1"/>
    <col min="9" max="9" width="19.42578125" style="13" customWidth="1"/>
    <col min="10" max="10" width="24.7109375" style="13" customWidth="1"/>
    <col min="11" max="11" width="19.7109375" style="13" customWidth="1"/>
    <col min="12" max="12" width="18.140625" style="13" customWidth="1"/>
    <col min="13" max="13" width="15" style="13" customWidth="1"/>
    <col min="14" max="14" width="14.7109375" style="13" customWidth="1"/>
    <col min="15" max="15" width="21.5703125" style="13" customWidth="1"/>
    <col min="16" max="16384" width="9.140625" style="13"/>
  </cols>
  <sheetData>
    <row r="1" spans="1:52" ht="108" customHeight="1">
      <c r="A1" s="104" t="s">
        <v>60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42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Z1"/>
    </row>
    <row r="2" spans="1:52" ht="15" customHeigh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Z2"/>
    </row>
    <row r="3" spans="1:52" ht="15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AZ3"/>
    </row>
    <row r="4" spans="1:52" ht="15" customHeight="1" thickBo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</row>
    <row r="5" spans="1:52" ht="15" customHeight="1" thickBot="1">
      <c r="A5"/>
      <c r="B5" s="32" t="s">
        <v>0</v>
      </c>
      <c r="C5" s="109">
        <f>MAR!K8</f>
        <v>0</v>
      </c>
      <c r="D5" s="110"/>
      <c r="E5"/>
      <c r="F5" s="99" t="s">
        <v>2</v>
      </c>
      <c r="G5" s="101"/>
      <c r="H5"/>
      <c r="I5" s="99" t="s">
        <v>62</v>
      </c>
      <c r="J5" s="100"/>
      <c r="K5" s="101"/>
      <c r="L5"/>
      <c r="M5"/>
      <c r="N5"/>
      <c r="O5"/>
    </row>
    <row r="6" spans="1:52" ht="15" customHeight="1" thickBot="1">
      <c r="A6"/>
      <c r="B6" s="31" t="s">
        <v>1</v>
      </c>
      <c r="C6" s="102">
        <f>G9</f>
        <v>0</v>
      </c>
      <c r="D6" s="103"/>
      <c r="E6"/>
      <c r="F6" s="1" t="s">
        <v>0</v>
      </c>
      <c r="G6" s="14">
        <f>C5</f>
        <v>0</v>
      </c>
      <c r="H6"/>
      <c r="I6" s="9" t="s">
        <v>5</v>
      </c>
      <c r="J6" s="74">
        <v>0.45</v>
      </c>
      <c r="K6" s="2">
        <f>IF($G$10&lt;=0,0,($G$10*J6))</f>
        <v>0</v>
      </c>
      <c r="L6"/>
      <c r="M6"/>
      <c r="N6"/>
      <c r="O6"/>
    </row>
    <row r="7" spans="1:52" ht="15" customHeight="1">
      <c r="A7"/>
      <c r="E7"/>
      <c r="F7" s="1" t="s">
        <v>3</v>
      </c>
      <c r="G7" s="14">
        <f>M28</f>
        <v>0</v>
      </c>
      <c r="H7"/>
      <c r="I7" s="9" t="s">
        <v>6</v>
      </c>
      <c r="J7" s="74">
        <v>0.45</v>
      </c>
      <c r="K7" s="2">
        <f t="shared" ref="K7:K8" si="0">IF($G$10&lt;=0,0,($G$10*J7))</f>
        <v>0</v>
      </c>
      <c r="L7"/>
      <c r="M7"/>
      <c r="N7"/>
      <c r="O7"/>
    </row>
    <row r="8" spans="1:52">
      <c r="F8" s="1" t="s">
        <v>4</v>
      </c>
      <c r="G8" s="14">
        <f>F22+E36</f>
        <v>0</v>
      </c>
      <c r="I8" s="9" t="s">
        <v>21</v>
      </c>
      <c r="J8" s="74">
        <v>0.1</v>
      </c>
      <c r="K8" s="2">
        <f t="shared" si="0"/>
        <v>0</v>
      </c>
    </row>
    <row r="9" spans="1:52">
      <c r="F9" s="1" t="s">
        <v>1</v>
      </c>
      <c r="G9" s="14">
        <f>(G6+G8)-G7</f>
        <v>0</v>
      </c>
    </row>
    <row r="10" spans="1:52">
      <c r="F10" s="1" t="s">
        <v>63</v>
      </c>
      <c r="G10" s="14">
        <f>G8-G7</f>
        <v>0</v>
      </c>
      <c r="L10" s="15"/>
      <c r="O10" s="108"/>
      <c r="P10" s="108"/>
      <c r="Q10" s="108"/>
    </row>
    <row r="11" spans="1:52">
      <c r="P11" s="108"/>
      <c r="Q11" s="108"/>
    </row>
    <row r="12" spans="1:52" ht="48.75" customHeight="1">
      <c r="A12" s="111" t="s">
        <v>4</v>
      </c>
      <c r="B12" s="111"/>
      <c r="C12" s="111"/>
      <c r="D12" s="111"/>
      <c r="E12" s="111"/>
      <c r="F12" s="111"/>
      <c r="G12" s="111"/>
      <c r="I12" s="111" t="s">
        <v>17</v>
      </c>
      <c r="J12" s="111"/>
      <c r="K12" s="111"/>
      <c r="L12" s="111"/>
      <c r="M12" s="111"/>
      <c r="N12" s="111"/>
    </row>
    <row r="13" spans="1:52" ht="31.5" customHeight="1" thickBot="1">
      <c r="A13" s="17" t="s">
        <v>61</v>
      </c>
      <c r="B13" s="16" t="s">
        <v>7</v>
      </c>
      <c r="C13" s="17" t="s">
        <v>8</v>
      </c>
      <c r="D13" s="17" t="s">
        <v>9</v>
      </c>
      <c r="E13" s="17" t="s">
        <v>12</v>
      </c>
      <c r="F13" s="18" t="s">
        <v>11</v>
      </c>
      <c r="G13" s="19" t="s">
        <v>10</v>
      </c>
      <c r="I13" s="17" t="s">
        <v>61</v>
      </c>
      <c r="J13" s="16" t="s">
        <v>7</v>
      </c>
      <c r="K13" s="18" t="s">
        <v>13</v>
      </c>
      <c r="L13" s="18" t="s">
        <v>14</v>
      </c>
      <c r="M13" s="17" t="s">
        <v>16</v>
      </c>
      <c r="N13" s="20" t="s">
        <v>15</v>
      </c>
      <c r="O13"/>
    </row>
    <row r="14" spans="1:52" ht="15.75" thickBot="1">
      <c r="A14" s="57"/>
      <c r="B14" s="58"/>
      <c r="C14" s="61"/>
      <c r="D14" s="62"/>
      <c r="E14" s="63"/>
      <c r="F14" s="64" t="s">
        <v>58</v>
      </c>
      <c r="G14" s="21">
        <f>Tabela1422[[#This Row],[VALOR BRUTO]]*(1-Tabela1422[[#This Row],[DESCONTO]])</f>
        <v>0</v>
      </c>
      <c r="I14" s="66"/>
      <c r="J14" s="67"/>
      <c r="K14" s="69"/>
      <c r="L14" s="69"/>
      <c r="M14" s="70"/>
      <c r="N14" s="71"/>
      <c r="O14"/>
    </row>
    <row r="15" spans="1:52" ht="15" customHeight="1" thickBot="1">
      <c r="A15" s="58"/>
      <c r="B15" s="58"/>
      <c r="C15" s="61"/>
      <c r="D15" s="62"/>
      <c r="E15" s="63"/>
      <c r="F15" s="64"/>
      <c r="G15" s="21">
        <f>Tabela1422[[#This Row],[VALOR BRUTO]]*(1-Tabela1422[[#This Row],[DESCONTO]])</f>
        <v>0</v>
      </c>
      <c r="I15" s="67"/>
      <c r="J15" s="67"/>
      <c r="K15" s="69"/>
      <c r="L15" s="69"/>
      <c r="M15" s="70"/>
      <c r="N15" s="71"/>
    </row>
    <row r="16" spans="1:52" ht="15" customHeight="1" thickBot="1">
      <c r="A16" s="58"/>
      <c r="B16" s="58"/>
      <c r="C16" s="61"/>
      <c r="D16" s="62"/>
      <c r="E16" s="63"/>
      <c r="F16" s="64"/>
      <c r="G16" s="21">
        <f>Tabela1422[[#This Row],[VALOR BRUTO]]*(1-Tabela1422[[#This Row],[DESCONTO]])</f>
        <v>0</v>
      </c>
      <c r="I16" s="67"/>
      <c r="J16" s="67"/>
      <c r="K16" s="69"/>
      <c r="L16" s="69"/>
      <c r="M16" s="70"/>
      <c r="N16" s="71"/>
    </row>
    <row r="17" spans="1:19" ht="15" customHeight="1" thickBot="1">
      <c r="A17" s="58"/>
      <c r="B17" s="58"/>
      <c r="C17" s="61"/>
      <c r="D17" s="62"/>
      <c r="E17" s="63"/>
      <c r="F17" s="64"/>
      <c r="G17" s="21">
        <f>Tabela1422[[#This Row],[VALOR BRUTO]]*(1-Tabela1422[[#This Row],[DESCONTO]])</f>
        <v>0</v>
      </c>
      <c r="H17" s="15"/>
      <c r="I17" s="67"/>
      <c r="J17" s="67"/>
      <c r="K17" s="69"/>
      <c r="L17" s="69"/>
      <c r="M17" s="70"/>
      <c r="N17" s="71"/>
      <c r="O17" s="106"/>
      <c r="P17" s="107"/>
      <c r="Q17" s="107"/>
    </row>
    <row r="18" spans="1:19" ht="18" customHeight="1" thickBot="1">
      <c r="A18" s="58"/>
      <c r="B18" s="58"/>
      <c r="C18" s="61"/>
      <c r="D18" s="62"/>
      <c r="E18" s="63"/>
      <c r="F18" s="64"/>
      <c r="G18" s="21">
        <f>Tabela1422[[#This Row],[VALOR BRUTO]]*(1-Tabela1422[[#This Row],[DESCONTO]])</f>
        <v>0</v>
      </c>
      <c r="I18" s="67"/>
      <c r="J18" s="67"/>
      <c r="K18" s="69"/>
      <c r="L18" s="69"/>
      <c r="M18" s="70"/>
      <c r="N18" s="71"/>
      <c r="Q18" s="10"/>
      <c r="R18" s="11"/>
      <c r="S18" s="12"/>
    </row>
    <row r="19" spans="1:19" ht="15.75" thickBot="1">
      <c r="A19" s="59"/>
      <c r="B19" s="60"/>
      <c r="C19" s="61"/>
      <c r="D19" s="62"/>
      <c r="E19" s="63"/>
      <c r="F19" s="65"/>
      <c r="G19" s="21">
        <f>Tabela1422[[#This Row],[VALOR BRUTO]]*(1-Tabela1422[[#This Row],[DESCONTO]])</f>
        <v>0</v>
      </c>
      <c r="I19" s="68"/>
      <c r="J19" s="67"/>
      <c r="K19" s="69"/>
      <c r="L19" s="69"/>
      <c r="M19" s="70"/>
      <c r="N19" s="71"/>
      <c r="Q19" s="10"/>
      <c r="R19" s="11"/>
      <c r="S19" s="12"/>
    </row>
    <row r="20" spans="1:19">
      <c r="A20" s="22"/>
      <c r="B20" s="23"/>
      <c r="C20" s="24"/>
      <c r="D20" s="25"/>
      <c r="E20" s="22"/>
      <c r="F20" s="24"/>
      <c r="I20" s="27"/>
      <c r="J20" s="27"/>
      <c r="K20" s="26"/>
      <c r="L20" s="28"/>
      <c r="Q20" s="10"/>
      <c r="R20" s="11"/>
      <c r="S20" s="12"/>
    </row>
    <row r="22" spans="1:19" ht="31.5" thickBot="1">
      <c r="A22" s="29" t="s">
        <v>59</v>
      </c>
      <c r="B22" s="30"/>
      <c r="C22" s="30"/>
      <c r="D22" s="30"/>
      <c r="E22" s="40"/>
      <c r="F22" s="112">
        <f>SUMIF(Tabela1422[FORMA DE PAGAMENTO],Referencias!A1,Tabela1422[VALOR LÍQUIDO])+SUMIF(Tabela1422[FORMA DE PAGAMENTO],Referencias!A2,Tabela1422[VALOR LÍQUIDO])+SUMIF(Tabela1422[FORMA DE PAGAMENTO],Referencias!A9,Tabela1422[VALOR LÍQUIDO])+SUMIF(Tabela1422[FORMA DE PAGAMENTO],Referencias!A10,Tabela1422[VALOR LÍQUIDO])</f>
        <v>0</v>
      </c>
      <c r="G22" s="112"/>
      <c r="I22" s="29" t="s">
        <v>19</v>
      </c>
      <c r="J22" s="30"/>
      <c r="K22" s="30"/>
      <c r="L22" s="41"/>
      <c r="M22" s="114">
        <f>SUMIF(Tabela2523[TIPO],"FIXA",Tabela2523[VALOR])</f>
        <v>0</v>
      </c>
      <c r="N22" s="114"/>
    </row>
    <row r="23" spans="1:19" ht="15.75" thickTop="1">
      <c r="H23" s="26"/>
    </row>
    <row r="25" spans="1:19" ht="33" thickBot="1">
      <c r="A25" s="39" t="s">
        <v>54</v>
      </c>
      <c r="B25" s="30"/>
      <c r="C25" s="30"/>
      <c r="D25" s="30"/>
      <c r="E25" s="40"/>
      <c r="F25" s="114">
        <f>SUMIF(Tabela1422[FORMA DE PAGAMENTO],Referencias!A3,Tabela1422[VALOR LÍQUIDO])+SUMIF(Tabela1422[FORMA DE PAGAMENTO],Referencias!A4,Tabela1422[VALOR LÍQUIDO])+SUMIF(Tabela1422[FORMA DE PAGAMENTO],Referencias!A5,Tabela1422[VALOR LÍQUIDO])+SUMIF(Tabela1422[FORMA DE PAGAMENTO],Referencias!A6,Tabela1422[VALOR LÍQUIDO])+SUMIF(Tabela1422[FORMA DE PAGAMENTO],Referencias!A7,Tabela1422[VALOR LÍQUIDO])+SUMIF(Tabela1422[FORMA DE PAGAMENTO],Referencias!A8,Tabela1422[VALOR LÍQUIDO])</f>
        <v>0</v>
      </c>
      <c r="G25" s="114"/>
      <c r="I25" s="29" t="s">
        <v>20</v>
      </c>
      <c r="J25" s="30"/>
      <c r="K25" s="30"/>
      <c r="L25" s="41"/>
      <c r="M25" s="114">
        <f>SUMIF(Tabela2523[TIPO],"VARIÁVEL",Tabela2523[VALOR])</f>
        <v>0</v>
      </c>
      <c r="N25" s="114"/>
    </row>
    <row r="26" spans="1:19" ht="15.75" thickTop="1"/>
    <row r="28" spans="1:19" ht="33" thickBot="1">
      <c r="A28" s="111" t="s">
        <v>48</v>
      </c>
      <c r="B28" s="111"/>
      <c r="C28" s="111"/>
      <c r="D28" s="111"/>
      <c r="E28" s="111"/>
      <c r="F28" s="33"/>
      <c r="I28" s="29" t="s">
        <v>22</v>
      </c>
      <c r="J28" s="30"/>
      <c r="K28" s="30"/>
      <c r="L28" s="41"/>
      <c r="M28" s="114">
        <f>SUM(Tabela2523[VALOR])</f>
        <v>0</v>
      </c>
      <c r="N28" s="114"/>
    </row>
    <row r="29" spans="1:19" ht="27" thickTop="1">
      <c r="A29" s="35" t="s">
        <v>44</v>
      </c>
      <c r="B29" s="35" t="s">
        <v>9</v>
      </c>
      <c r="C29" s="35" t="s">
        <v>49</v>
      </c>
      <c r="D29" s="35" t="s">
        <v>50</v>
      </c>
      <c r="E29" s="35" t="s">
        <v>10</v>
      </c>
      <c r="F29" s="33"/>
    </row>
    <row r="30" spans="1:19" ht="23.25" customHeight="1">
      <c r="A30" s="43" t="s">
        <v>45</v>
      </c>
      <c r="B30" s="44">
        <f>SUMIF(Tabela1422[FORMA DE PAGAMENTO],Referencias!A3,Tabela1422[VALOR LÍQUIDO])</f>
        <v>0</v>
      </c>
      <c r="C30" s="72">
        <v>0.04</v>
      </c>
      <c r="D30" s="44">
        <f>B30*C30</f>
        <v>0</v>
      </c>
      <c r="E30" s="44">
        <f>B30-D30</f>
        <v>0</v>
      </c>
      <c r="F30" s="33"/>
    </row>
    <row r="31" spans="1:19" ht="18.75">
      <c r="A31" s="43" t="s">
        <v>46</v>
      </c>
      <c r="B31" s="44">
        <f>SUMIF(Tabela1422[FORMA DE PAGAMENTO],Referencias!A4,Tabela1422[VALOR LÍQUIDO])</f>
        <v>0</v>
      </c>
      <c r="C31" s="72">
        <v>0.04</v>
      </c>
      <c r="D31" s="44">
        <f t="shared" ref="D31:D35" si="1">B31*C31</f>
        <v>0</v>
      </c>
      <c r="E31" s="44">
        <f t="shared" ref="E31:E35" si="2">B31-D31</f>
        <v>0</v>
      </c>
      <c r="F31" s="34"/>
    </row>
    <row r="32" spans="1:19">
      <c r="A32" s="43" t="s">
        <v>47</v>
      </c>
      <c r="B32" s="44">
        <f>SUMIF(Tabela1422[FORMA DE PAGAMENTO],Referencias!A5,Tabela1422[VALOR LÍQUIDO])</f>
        <v>0</v>
      </c>
      <c r="C32" s="72">
        <v>0.04</v>
      </c>
      <c r="D32" s="44">
        <f t="shared" si="1"/>
        <v>0</v>
      </c>
      <c r="E32" s="44">
        <f t="shared" si="2"/>
        <v>0</v>
      </c>
    </row>
    <row r="33" spans="1:5">
      <c r="A33" s="43" t="s">
        <v>51</v>
      </c>
      <c r="B33" s="44">
        <f>SUMIF(Tabela1422[FORMA DE PAGAMENTO],Referencias!A6,Tabela1422[VALOR LÍQUIDO])</f>
        <v>0</v>
      </c>
      <c r="C33" s="72">
        <v>0.04</v>
      </c>
      <c r="D33" s="44">
        <f t="shared" si="1"/>
        <v>0</v>
      </c>
      <c r="E33" s="44">
        <f t="shared" si="2"/>
        <v>0</v>
      </c>
    </row>
    <row r="34" spans="1:5" ht="15.75" customHeight="1">
      <c r="A34" s="43" t="s">
        <v>52</v>
      </c>
      <c r="B34" s="44">
        <f>SUMIF(Tabela1422[FORMA DE PAGAMENTO],Referencias!A7,Tabela1422[VALOR LÍQUIDO])</f>
        <v>0</v>
      </c>
      <c r="C34" s="72">
        <v>0.04</v>
      </c>
      <c r="D34" s="44">
        <f t="shared" si="1"/>
        <v>0</v>
      </c>
      <c r="E34" s="44">
        <f t="shared" si="2"/>
        <v>0</v>
      </c>
    </row>
    <row r="35" spans="1:5" ht="15" customHeight="1">
      <c r="A35" s="43" t="s">
        <v>53</v>
      </c>
      <c r="B35" s="44">
        <f>SUMIF(Tabela1422[FORMA DE PAGAMENTO],Referencias!A8,Tabela1422[VALOR LÍQUIDO])</f>
        <v>0</v>
      </c>
      <c r="C35" s="73">
        <v>0.04</v>
      </c>
      <c r="D35" s="49">
        <f t="shared" si="1"/>
        <v>0</v>
      </c>
      <c r="E35" s="49">
        <f t="shared" si="2"/>
        <v>0</v>
      </c>
    </row>
    <row r="36" spans="1:5" ht="19.5" customHeight="1">
      <c r="C36" s="51" t="s">
        <v>18</v>
      </c>
      <c r="D36" s="50">
        <f>SUM(D30:D35)</f>
        <v>0</v>
      </c>
      <c r="E36" s="50">
        <f>SUM(E30:E35)</f>
        <v>0</v>
      </c>
    </row>
    <row r="37" spans="1:5" ht="19.5" customHeight="1"/>
  </sheetData>
  <sheetProtection sheet="1" objects="1" scenarios="1" selectLockedCells="1"/>
  <mergeCells count="16">
    <mergeCell ref="F25:G25"/>
    <mergeCell ref="M25:N25"/>
    <mergeCell ref="A28:E28"/>
    <mergeCell ref="M28:N28"/>
    <mergeCell ref="P11:Q11"/>
    <mergeCell ref="A12:G12"/>
    <mergeCell ref="I12:N12"/>
    <mergeCell ref="O17:Q17"/>
    <mergeCell ref="F22:G22"/>
    <mergeCell ref="M22:N22"/>
    <mergeCell ref="O10:Q10"/>
    <mergeCell ref="A1:O1"/>
    <mergeCell ref="C5:D5"/>
    <mergeCell ref="F5:G5"/>
    <mergeCell ref="I5:K5"/>
    <mergeCell ref="C6:D6"/>
  </mergeCells>
  <conditionalFormatting sqref="G9">
    <cfRule type="cellIs" dxfId="53" priority="3" operator="greaterThan">
      <formula>0</formula>
    </cfRule>
    <cfRule type="cellIs" dxfId="52" priority="4" stopIfTrue="1" operator="lessThan">
      <formula>0</formula>
    </cfRule>
  </conditionalFormatting>
  <conditionalFormatting sqref="G10">
    <cfRule type="cellIs" dxfId="51" priority="1" operator="greaterThan">
      <formula>0</formula>
    </cfRule>
    <cfRule type="cellIs" dxfId="50" priority="2" operator="lessThan">
      <formula>0</formula>
    </cfRule>
  </conditionalFormatting>
  <dataValidations count="2">
    <dataValidation type="date" operator="greaterThan" allowBlank="1" showInputMessage="1" showErrorMessage="1" sqref="B20 K18:L19 I20:J20" xr:uid="{65EF5D1B-49B8-49B2-8F37-22C4092E7FC6}">
      <formula1>44348</formula1>
    </dataValidation>
    <dataValidation type="list" operator="greaterThanOrEqual" allowBlank="1" showInputMessage="1" showErrorMessage="1" sqref="K20 M14:M19" xr:uid="{7618D66F-6626-4E56-9BC3-0410C6661B5F}">
      <formula1>"FIXA,VARIÁVEL"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D3BA58-2535-4E48-8FAA-A14C7E8EFEFA}">
          <x14:formula1>
            <xm:f>Referencias!$A$1:$A$10</xm:f>
          </x14:formula1>
          <xm:sqref>F14:F19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B9BD3-F635-4D8C-91A3-7E2A2C001001}">
  <sheetPr codeName="Planilha15"/>
  <dimension ref="A1:AZ37"/>
  <sheetViews>
    <sheetView showGridLines="0" showRowColHeaders="0" zoomScale="70" zoomScaleNormal="70" workbookViewId="0">
      <pane ySplit="1" topLeftCell="A4" activePane="bottomLeft" state="frozen"/>
      <selection pane="bottomLeft" activeCell="A14" sqref="A14"/>
    </sheetView>
  </sheetViews>
  <sheetFormatPr defaultRowHeight="15"/>
  <cols>
    <col min="1" max="1" width="27.42578125" style="13" customWidth="1"/>
    <col min="2" max="2" width="28.7109375" style="13" customWidth="1"/>
    <col min="3" max="3" width="13.7109375" style="13" customWidth="1"/>
    <col min="4" max="4" width="18" style="13" customWidth="1"/>
    <col min="5" max="5" width="22.85546875" style="13" customWidth="1"/>
    <col min="6" max="6" width="24.7109375" style="13" customWidth="1"/>
    <col min="7" max="7" width="16.5703125" style="13" customWidth="1"/>
    <col min="8" max="8" width="16.42578125" style="13" customWidth="1"/>
    <col min="9" max="9" width="19.42578125" style="13" customWidth="1"/>
    <col min="10" max="10" width="24.7109375" style="13" customWidth="1"/>
    <col min="11" max="11" width="19.7109375" style="13" customWidth="1"/>
    <col min="12" max="12" width="18.140625" style="13" customWidth="1"/>
    <col min="13" max="13" width="15" style="13" customWidth="1"/>
    <col min="14" max="14" width="14.7109375" style="13" customWidth="1"/>
    <col min="15" max="15" width="21.5703125" style="13" customWidth="1"/>
    <col min="16" max="16384" width="9.140625" style="13"/>
  </cols>
  <sheetData>
    <row r="1" spans="1:52" ht="108" customHeight="1">
      <c r="A1" s="104" t="s">
        <v>60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42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Z1"/>
    </row>
    <row r="2" spans="1:52" ht="3.75" customHeigh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Z2"/>
    </row>
    <row r="3" spans="1:52" ht="12.75" hidden="1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AZ3"/>
    </row>
    <row r="4" spans="1:52" ht="15" customHeight="1" thickBo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</row>
    <row r="5" spans="1:52" ht="15" customHeight="1" thickBot="1">
      <c r="A5"/>
      <c r="B5" s="32" t="s">
        <v>0</v>
      </c>
      <c r="C5" s="109">
        <f>ABR!K8</f>
        <v>0</v>
      </c>
      <c r="D5" s="110"/>
      <c r="E5"/>
      <c r="F5" s="99" t="s">
        <v>2</v>
      </c>
      <c r="G5" s="101"/>
      <c r="H5"/>
      <c r="I5" s="99" t="s">
        <v>62</v>
      </c>
      <c r="J5" s="100"/>
      <c r="K5" s="101"/>
      <c r="L5"/>
      <c r="M5"/>
      <c r="N5"/>
      <c r="O5"/>
    </row>
    <row r="6" spans="1:52" ht="15" customHeight="1" thickBot="1">
      <c r="A6"/>
      <c r="B6" s="31" t="s">
        <v>1</v>
      </c>
      <c r="C6" s="102">
        <f>G9</f>
        <v>0</v>
      </c>
      <c r="D6" s="103"/>
      <c r="E6"/>
      <c r="F6" s="1" t="s">
        <v>0</v>
      </c>
      <c r="G6" s="14">
        <f>C5</f>
        <v>0</v>
      </c>
      <c r="H6"/>
      <c r="I6" s="9" t="s">
        <v>5</v>
      </c>
      <c r="J6" s="74">
        <v>0.45</v>
      </c>
      <c r="K6" s="2">
        <f>IF($G$10&lt;=0,0,($G$10*J6))</f>
        <v>0</v>
      </c>
      <c r="L6"/>
      <c r="M6"/>
      <c r="N6"/>
      <c r="O6"/>
    </row>
    <row r="7" spans="1:52" ht="15" customHeight="1">
      <c r="A7"/>
      <c r="E7"/>
      <c r="F7" s="1" t="s">
        <v>3</v>
      </c>
      <c r="G7" s="14">
        <f>M28</f>
        <v>0</v>
      </c>
      <c r="H7"/>
      <c r="I7" s="9" t="s">
        <v>6</v>
      </c>
      <c r="J7" s="74">
        <v>0.45</v>
      </c>
      <c r="K7" s="2">
        <f t="shared" ref="K7:K8" si="0">IF($G$10&lt;=0,0,($G$10*J7))</f>
        <v>0</v>
      </c>
      <c r="L7"/>
      <c r="M7"/>
      <c r="N7"/>
      <c r="O7"/>
    </row>
    <row r="8" spans="1:52">
      <c r="F8" s="1" t="s">
        <v>4</v>
      </c>
      <c r="G8" s="14">
        <f>F22+E36</f>
        <v>0</v>
      </c>
      <c r="I8" s="9" t="s">
        <v>21</v>
      </c>
      <c r="J8" s="74">
        <v>0.1</v>
      </c>
      <c r="K8" s="2">
        <f t="shared" si="0"/>
        <v>0</v>
      </c>
    </row>
    <row r="9" spans="1:52">
      <c r="F9" s="1" t="s">
        <v>1</v>
      </c>
      <c r="G9" s="14">
        <f>(G6+G8)-G7</f>
        <v>0</v>
      </c>
    </row>
    <row r="10" spans="1:52">
      <c r="F10" s="1" t="s">
        <v>63</v>
      </c>
      <c r="G10" s="14">
        <f>G8-G7</f>
        <v>0</v>
      </c>
      <c r="L10" s="15"/>
      <c r="O10" s="108"/>
      <c r="P10" s="108"/>
      <c r="Q10" s="108"/>
    </row>
    <row r="11" spans="1:52">
      <c r="P11" s="108"/>
      <c r="Q11" s="108"/>
    </row>
    <row r="12" spans="1:52" ht="48.75" customHeight="1">
      <c r="A12" s="111" t="s">
        <v>4</v>
      </c>
      <c r="B12" s="111"/>
      <c r="C12" s="111"/>
      <c r="D12" s="111"/>
      <c r="E12" s="111"/>
      <c r="F12" s="111"/>
      <c r="G12" s="111"/>
      <c r="I12" s="111" t="s">
        <v>17</v>
      </c>
      <c r="J12" s="111"/>
      <c r="K12" s="111"/>
      <c r="L12" s="111"/>
      <c r="M12" s="111"/>
      <c r="N12" s="111"/>
    </row>
    <row r="13" spans="1:52" ht="31.5" customHeight="1" thickBot="1">
      <c r="A13" s="17" t="s">
        <v>61</v>
      </c>
      <c r="B13" s="16" t="s">
        <v>7</v>
      </c>
      <c r="C13" s="17" t="s">
        <v>8</v>
      </c>
      <c r="D13" s="17" t="s">
        <v>9</v>
      </c>
      <c r="E13" s="17" t="s">
        <v>12</v>
      </c>
      <c r="F13" s="18" t="s">
        <v>11</v>
      </c>
      <c r="G13" s="19" t="s">
        <v>10</v>
      </c>
      <c r="I13" s="17" t="s">
        <v>61</v>
      </c>
      <c r="J13" s="16" t="s">
        <v>7</v>
      </c>
      <c r="K13" s="18" t="s">
        <v>13</v>
      </c>
      <c r="L13" s="18" t="s">
        <v>14</v>
      </c>
      <c r="M13" s="17" t="s">
        <v>16</v>
      </c>
      <c r="N13" s="20" t="s">
        <v>15</v>
      </c>
      <c r="O13"/>
    </row>
    <row r="14" spans="1:52" ht="15.75" thickBot="1">
      <c r="A14" s="57"/>
      <c r="B14" s="58"/>
      <c r="C14" s="61"/>
      <c r="D14" s="62"/>
      <c r="E14" s="63"/>
      <c r="F14" s="64" t="s">
        <v>58</v>
      </c>
      <c r="G14" s="21">
        <f>Tabela1424[[#This Row],[VALOR BRUTO]]*(1-Tabela1424[[#This Row],[DESCONTO]])</f>
        <v>0</v>
      </c>
      <c r="I14" s="66"/>
      <c r="J14" s="67"/>
      <c r="K14" s="69"/>
      <c r="L14" s="69"/>
      <c r="M14" s="70"/>
      <c r="N14" s="71"/>
      <c r="O14"/>
    </row>
    <row r="15" spans="1:52" ht="15" customHeight="1" thickBot="1">
      <c r="A15" s="58"/>
      <c r="B15" s="58"/>
      <c r="C15" s="61"/>
      <c r="D15" s="62"/>
      <c r="E15" s="63"/>
      <c r="F15" s="64"/>
      <c r="G15" s="21">
        <f>Tabela1424[[#This Row],[VALOR BRUTO]]*(1-Tabela1424[[#This Row],[DESCONTO]])</f>
        <v>0</v>
      </c>
      <c r="I15" s="67"/>
      <c r="J15" s="67"/>
      <c r="K15" s="69"/>
      <c r="L15" s="69"/>
      <c r="M15" s="70"/>
      <c r="N15" s="71"/>
    </row>
    <row r="16" spans="1:52" ht="15" customHeight="1" thickBot="1">
      <c r="A16" s="58"/>
      <c r="B16" s="58"/>
      <c r="C16" s="61"/>
      <c r="D16" s="62"/>
      <c r="E16" s="63"/>
      <c r="F16" s="64"/>
      <c r="G16" s="21">
        <f>Tabela1424[[#This Row],[VALOR BRUTO]]*(1-Tabela1424[[#This Row],[DESCONTO]])</f>
        <v>0</v>
      </c>
      <c r="I16" s="67"/>
      <c r="J16" s="67"/>
      <c r="K16" s="69"/>
      <c r="L16" s="69"/>
      <c r="M16" s="70"/>
      <c r="N16" s="71"/>
    </row>
    <row r="17" spans="1:19" ht="15" customHeight="1" thickBot="1">
      <c r="A17" s="58"/>
      <c r="B17" s="58"/>
      <c r="C17" s="61"/>
      <c r="D17" s="62"/>
      <c r="E17" s="63"/>
      <c r="F17" s="64"/>
      <c r="G17" s="21">
        <f>Tabela1424[[#This Row],[VALOR BRUTO]]*(1-Tabela1424[[#This Row],[DESCONTO]])</f>
        <v>0</v>
      </c>
      <c r="H17" s="15"/>
      <c r="I17" s="67"/>
      <c r="J17" s="67"/>
      <c r="K17" s="69"/>
      <c r="L17" s="69"/>
      <c r="M17" s="70"/>
      <c r="N17" s="71"/>
      <c r="O17" s="106"/>
      <c r="P17" s="107"/>
      <c r="Q17" s="107"/>
    </row>
    <row r="18" spans="1:19" ht="18" customHeight="1" thickBot="1">
      <c r="A18" s="58"/>
      <c r="B18" s="58"/>
      <c r="C18" s="61"/>
      <c r="D18" s="62"/>
      <c r="E18" s="63"/>
      <c r="F18" s="64"/>
      <c r="G18" s="21">
        <f>Tabela1424[[#This Row],[VALOR BRUTO]]*(1-Tabela1424[[#This Row],[DESCONTO]])</f>
        <v>0</v>
      </c>
      <c r="I18" s="67"/>
      <c r="J18" s="67"/>
      <c r="K18" s="69"/>
      <c r="L18" s="69"/>
      <c r="M18" s="70"/>
      <c r="N18" s="71"/>
      <c r="Q18" s="10"/>
      <c r="R18" s="11"/>
      <c r="S18" s="12"/>
    </row>
    <row r="19" spans="1:19" ht="15.75" thickBot="1">
      <c r="A19" s="59"/>
      <c r="B19" s="60"/>
      <c r="C19" s="61"/>
      <c r="D19" s="62"/>
      <c r="E19" s="63"/>
      <c r="F19" s="65"/>
      <c r="G19" s="21">
        <f>Tabela1424[[#This Row],[VALOR BRUTO]]*(1-Tabela1424[[#This Row],[DESCONTO]])</f>
        <v>0</v>
      </c>
      <c r="I19" s="68"/>
      <c r="J19" s="67"/>
      <c r="K19" s="69"/>
      <c r="L19" s="69"/>
      <c r="M19" s="70"/>
      <c r="N19" s="71"/>
      <c r="Q19" s="10"/>
      <c r="R19" s="11"/>
      <c r="S19" s="12"/>
    </row>
    <row r="20" spans="1:19">
      <c r="A20" s="22"/>
      <c r="B20" s="23"/>
      <c r="C20" s="24"/>
      <c r="D20" s="25"/>
      <c r="E20" s="22"/>
      <c r="F20" s="24"/>
      <c r="I20" s="27"/>
      <c r="J20" s="27"/>
      <c r="K20" s="26"/>
      <c r="L20" s="28"/>
      <c r="Q20" s="10"/>
      <c r="R20" s="11"/>
      <c r="S20" s="12"/>
    </row>
    <row r="22" spans="1:19" ht="31.5" thickBot="1">
      <c r="A22" s="29" t="s">
        <v>59</v>
      </c>
      <c r="B22" s="30"/>
      <c r="C22" s="30"/>
      <c r="D22" s="30"/>
      <c r="E22" s="40"/>
      <c r="F22" s="112">
        <f>SUMIF(Tabela1424[FORMA DE PAGAMENTO],Referencias!A1,Tabela1424[VALOR LÍQUIDO])+SUMIF(Tabela1424[FORMA DE PAGAMENTO],Referencias!A2,Tabela1424[VALOR LÍQUIDO])+SUMIF(Tabela1424[FORMA DE PAGAMENTO],Referencias!A9,Tabela1424[VALOR LÍQUIDO])+SUMIF(Tabela1424[FORMA DE PAGAMENTO],Referencias!A10,Tabela1424[VALOR LÍQUIDO])</f>
        <v>0</v>
      </c>
      <c r="G22" s="112"/>
      <c r="I22" s="29" t="s">
        <v>19</v>
      </c>
      <c r="J22" s="30"/>
      <c r="K22" s="30"/>
      <c r="L22" s="41"/>
      <c r="M22" s="114">
        <f>SUMIF(Tabela2525[TIPO],"FIXA",Tabela2525[VALOR])</f>
        <v>0</v>
      </c>
      <c r="N22" s="114"/>
    </row>
    <row r="23" spans="1:19" ht="15.75" thickTop="1">
      <c r="H23" s="26"/>
    </row>
    <row r="25" spans="1:19" ht="33" thickBot="1">
      <c r="A25" s="39" t="s">
        <v>54</v>
      </c>
      <c r="B25" s="30"/>
      <c r="C25" s="30"/>
      <c r="D25" s="30"/>
      <c r="E25" s="40"/>
      <c r="F25" s="114">
        <f>SUMIF(Tabela1424[FORMA DE PAGAMENTO],Referencias!A3,Tabela1424[VALOR LÍQUIDO])+SUMIF(Tabela1424[FORMA DE PAGAMENTO],Referencias!A4,Tabela1424[VALOR LÍQUIDO])+SUMIF(Tabela1424[FORMA DE PAGAMENTO],Referencias!A5,Tabela1424[VALOR LÍQUIDO])+SUMIF(Tabela1424[FORMA DE PAGAMENTO],Referencias!A6,Tabela1424[VALOR LÍQUIDO])+SUMIF(Tabela1424[FORMA DE PAGAMENTO],Referencias!A7,Tabela1424[VALOR LÍQUIDO])+SUMIF(Tabela1424[FORMA DE PAGAMENTO],Referencias!A8,Tabela1424[VALOR LÍQUIDO])</f>
        <v>0</v>
      </c>
      <c r="G25" s="114"/>
      <c r="I25" s="29" t="s">
        <v>20</v>
      </c>
      <c r="J25" s="30"/>
      <c r="K25" s="30"/>
      <c r="L25" s="41"/>
      <c r="M25" s="114">
        <f>SUMIF(Tabela2525[TIPO],"VARIÁVEL",Tabela2525[VALOR])</f>
        <v>0</v>
      </c>
      <c r="N25" s="114"/>
    </row>
    <row r="26" spans="1:19" ht="15.75" thickTop="1"/>
    <row r="28" spans="1:19" ht="33" thickBot="1">
      <c r="A28" s="111" t="s">
        <v>48</v>
      </c>
      <c r="B28" s="111"/>
      <c r="C28" s="111"/>
      <c r="D28" s="111"/>
      <c r="E28" s="111"/>
      <c r="F28" s="33"/>
      <c r="I28" s="29" t="s">
        <v>22</v>
      </c>
      <c r="J28" s="30"/>
      <c r="K28" s="30"/>
      <c r="L28" s="41"/>
      <c r="M28" s="114">
        <f>SUM(Tabela2525[VALOR])</f>
        <v>0</v>
      </c>
      <c r="N28" s="114"/>
    </row>
    <row r="29" spans="1:19" ht="27" thickTop="1">
      <c r="A29" s="35" t="s">
        <v>44</v>
      </c>
      <c r="B29" s="35" t="s">
        <v>9</v>
      </c>
      <c r="C29" s="35" t="s">
        <v>49</v>
      </c>
      <c r="D29" s="35" t="s">
        <v>50</v>
      </c>
      <c r="E29" s="35" t="s">
        <v>10</v>
      </c>
      <c r="F29" s="33"/>
    </row>
    <row r="30" spans="1:19" ht="23.25" customHeight="1">
      <c r="A30" s="43" t="s">
        <v>45</v>
      </c>
      <c r="B30" s="44">
        <f>SUMIF(Tabela1424[FORMA DE PAGAMENTO],Referencias!A3,Tabela1424[VALOR LÍQUIDO])</f>
        <v>0</v>
      </c>
      <c r="C30" s="72">
        <v>0.04</v>
      </c>
      <c r="D30" s="44">
        <f>B30*C30</f>
        <v>0</v>
      </c>
      <c r="E30" s="44">
        <f>B30-D30</f>
        <v>0</v>
      </c>
      <c r="F30" s="33"/>
    </row>
    <row r="31" spans="1:19" ht="18.75">
      <c r="A31" s="43" t="s">
        <v>46</v>
      </c>
      <c r="B31" s="44">
        <f>SUMIF(Tabela1424[FORMA DE PAGAMENTO],Referencias!A4,Tabela1424[VALOR LÍQUIDO])</f>
        <v>0</v>
      </c>
      <c r="C31" s="72">
        <v>0.04</v>
      </c>
      <c r="D31" s="44">
        <f t="shared" ref="D31:D35" si="1">B31*C31</f>
        <v>0</v>
      </c>
      <c r="E31" s="44">
        <f t="shared" ref="E31:E35" si="2">B31-D31</f>
        <v>0</v>
      </c>
      <c r="F31" s="34"/>
    </row>
    <row r="32" spans="1:19">
      <c r="A32" s="43" t="s">
        <v>47</v>
      </c>
      <c r="B32" s="44">
        <f>SUMIF(Tabela1424[FORMA DE PAGAMENTO],Referencias!A5,Tabela1424[VALOR LÍQUIDO])</f>
        <v>0</v>
      </c>
      <c r="C32" s="72">
        <v>0.04</v>
      </c>
      <c r="D32" s="44">
        <f t="shared" si="1"/>
        <v>0</v>
      </c>
      <c r="E32" s="44">
        <f t="shared" si="2"/>
        <v>0</v>
      </c>
    </row>
    <row r="33" spans="1:5">
      <c r="A33" s="43" t="s">
        <v>51</v>
      </c>
      <c r="B33" s="44">
        <f>SUMIF(Tabela1424[FORMA DE PAGAMENTO],Referencias!A6,Tabela1424[VALOR LÍQUIDO])</f>
        <v>0</v>
      </c>
      <c r="C33" s="72">
        <v>0.04</v>
      </c>
      <c r="D33" s="44">
        <f t="shared" si="1"/>
        <v>0</v>
      </c>
      <c r="E33" s="44">
        <f t="shared" si="2"/>
        <v>0</v>
      </c>
    </row>
    <row r="34" spans="1:5" ht="15.75" customHeight="1">
      <c r="A34" s="43" t="s">
        <v>52</v>
      </c>
      <c r="B34" s="44">
        <f>SUMIF(Tabela1424[FORMA DE PAGAMENTO],Referencias!A7,Tabela1424[VALOR LÍQUIDO])</f>
        <v>0</v>
      </c>
      <c r="C34" s="72">
        <v>0.04</v>
      </c>
      <c r="D34" s="44">
        <f t="shared" si="1"/>
        <v>0</v>
      </c>
      <c r="E34" s="44">
        <f t="shared" si="2"/>
        <v>0</v>
      </c>
    </row>
    <row r="35" spans="1:5" ht="15" customHeight="1">
      <c r="A35" s="43" t="s">
        <v>53</v>
      </c>
      <c r="B35" s="44">
        <f>SUMIF(Tabela1424[FORMA DE PAGAMENTO],Referencias!A8,Tabela1424[VALOR LÍQUIDO])</f>
        <v>0</v>
      </c>
      <c r="C35" s="73">
        <v>0.04</v>
      </c>
      <c r="D35" s="49">
        <f t="shared" si="1"/>
        <v>0</v>
      </c>
      <c r="E35" s="49">
        <f t="shared" si="2"/>
        <v>0</v>
      </c>
    </row>
    <row r="36" spans="1:5" ht="19.5" customHeight="1">
      <c r="C36" s="51" t="s">
        <v>18</v>
      </c>
      <c r="D36" s="50">
        <f>SUM(D30:D35)</f>
        <v>0</v>
      </c>
      <c r="E36" s="50">
        <f>SUM(E30:E35)</f>
        <v>0</v>
      </c>
    </row>
    <row r="37" spans="1:5" ht="19.5" customHeight="1"/>
  </sheetData>
  <sheetProtection sheet="1" objects="1" scenarios="1" selectLockedCells="1"/>
  <mergeCells count="16">
    <mergeCell ref="F25:G25"/>
    <mergeCell ref="M25:N25"/>
    <mergeCell ref="A28:E28"/>
    <mergeCell ref="M28:N28"/>
    <mergeCell ref="P11:Q11"/>
    <mergeCell ref="A12:G12"/>
    <mergeCell ref="I12:N12"/>
    <mergeCell ref="O17:Q17"/>
    <mergeCell ref="F22:G22"/>
    <mergeCell ref="M22:N22"/>
    <mergeCell ref="O10:Q10"/>
    <mergeCell ref="A1:O1"/>
    <mergeCell ref="C5:D5"/>
    <mergeCell ref="F5:G5"/>
    <mergeCell ref="I5:K5"/>
    <mergeCell ref="C6:D6"/>
  </mergeCells>
  <conditionalFormatting sqref="G9">
    <cfRule type="cellIs" dxfId="26" priority="3" operator="greaterThan">
      <formula>0</formula>
    </cfRule>
    <cfRule type="cellIs" dxfId="25" priority="4" stopIfTrue="1" operator="lessThan">
      <formula>0</formula>
    </cfRule>
  </conditionalFormatting>
  <conditionalFormatting sqref="G10">
    <cfRule type="cellIs" dxfId="24" priority="1" operator="greaterThan">
      <formula>0</formula>
    </cfRule>
    <cfRule type="cellIs" dxfId="23" priority="2" operator="lessThan">
      <formula>0</formula>
    </cfRule>
  </conditionalFormatting>
  <dataValidations count="2">
    <dataValidation type="date" operator="greaterThan" allowBlank="1" showInputMessage="1" showErrorMessage="1" sqref="B20 K18:L19 I20:J20" xr:uid="{8BAF4EF2-C32B-4AEC-A0B4-38B367D43154}">
      <formula1>44348</formula1>
    </dataValidation>
    <dataValidation type="list" operator="greaterThanOrEqual" allowBlank="1" showInputMessage="1" showErrorMessage="1" sqref="K20 M14:M19" xr:uid="{8EB7995F-3D03-4C2B-9E07-869C5F26B31C}">
      <formula1>"FIXA,VARIÁVEL"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F1BA38F-F7F0-4077-9A67-A4A1706AC869}">
          <x14:formula1>
            <xm:f>Referencias!$A$1:$A$10</xm:f>
          </x14:formula1>
          <xm:sqref>F14:F19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C24D9-DB7F-43FD-AE0E-3D863859250F}">
  <sheetPr codeName="Planilha4"/>
  <dimension ref="A1:A10"/>
  <sheetViews>
    <sheetView workbookViewId="0">
      <selection activeCell="G16" sqref="G16"/>
    </sheetView>
  </sheetViews>
  <sheetFormatPr defaultRowHeight="15"/>
  <cols>
    <col min="1" max="1" width="18.140625" customWidth="1"/>
  </cols>
  <sheetData>
    <row r="1" spans="1:1">
      <c r="A1" s="37" t="s">
        <v>58</v>
      </c>
    </row>
    <row r="2" spans="1:1">
      <c r="A2" s="37" t="s">
        <v>55</v>
      </c>
    </row>
    <row r="3" spans="1:1">
      <c r="A3" s="38" t="s">
        <v>45</v>
      </c>
    </row>
    <row r="4" spans="1:1">
      <c r="A4" s="38" t="s">
        <v>46</v>
      </c>
    </row>
    <row r="5" spans="1:1">
      <c r="A5" s="38" t="s">
        <v>47</v>
      </c>
    </row>
    <row r="6" spans="1:1">
      <c r="A6" s="38" t="s">
        <v>51</v>
      </c>
    </row>
    <row r="7" spans="1:1">
      <c r="A7" s="38" t="s">
        <v>52</v>
      </c>
    </row>
    <row r="8" spans="1:1">
      <c r="A8" s="38" t="s">
        <v>53</v>
      </c>
    </row>
    <row r="9" spans="1:1">
      <c r="A9" s="37" t="s">
        <v>56</v>
      </c>
    </row>
    <row r="10" spans="1:1">
      <c r="A10" s="37" t="s">
        <v>57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MENU</vt:lpstr>
      <vt:lpstr>DRE</vt:lpstr>
      <vt:lpstr>JUN</vt:lpstr>
      <vt:lpstr>JUL</vt:lpstr>
      <vt:lpstr>AGO</vt:lpstr>
      <vt:lpstr>SET</vt:lpstr>
      <vt:lpstr>OUT</vt:lpstr>
      <vt:lpstr>NOV</vt:lpstr>
      <vt:lpstr>DEZ</vt:lpstr>
      <vt:lpstr>JAN</vt:lpstr>
      <vt:lpstr>FEV</vt:lpstr>
      <vt:lpstr>MAR</vt:lpstr>
      <vt:lpstr>ABR</vt:lpstr>
      <vt:lpstr>MAI</vt:lpstr>
      <vt:lpstr>Referencias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gdoli</dc:creator>
  <cp:lastModifiedBy>Gui_DS</cp:lastModifiedBy>
  <dcterms:created xsi:type="dcterms:W3CDTF">2021-06-09T04:05:46Z</dcterms:created>
  <dcterms:modified xsi:type="dcterms:W3CDTF">2022-08-06T15:37:10Z</dcterms:modified>
</cp:coreProperties>
</file>